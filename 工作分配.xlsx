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\AIPE03第一組\kanbanBoard-everyone_ignore-\"/>
    </mc:Choice>
  </mc:AlternateContent>
  <xr:revisionPtr revIDLastSave="0" documentId="13_ncr:1_{156744BE-26F2-4C53-8E78-EFA0D4DAEB07}" xr6:coauthVersionLast="47" xr6:coauthVersionMax="47" xr10:uidLastSave="{00000000-0000-0000-0000-000000000000}"/>
  <bookViews>
    <workbookView xWindow="-6768" yWindow="12852" windowWidth="23256" windowHeight="12456" tabRatio="500" xr2:uid="{00000000-000D-0000-FFFF-FFFF00000000}"/>
  </bookViews>
  <sheets>
    <sheet name="工作分配總表" sheetId="1" r:id="rId1"/>
    <sheet name="甘特圖" sheetId="2" r:id="rId2"/>
    <sheet name="人力配置" sheetId="3" r:id="rId3"/>
    <sheet name="說明與原則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1" i="1" l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<sst xmlns="http://schemas.openxmlformats.org/spreadsheetml/2006/main" count="464" uniqueCount="224">
  <si>
    <r>
      <rPr>
        <b/>
        <sz val="15"/>
        <color rgb="FFFFFFFF"/>
        <rFont val="Microsoft JhengHei"/>
        <family val="2"/>
        <charset val="136"/>
      </rPr>
      <t xml:space="preserve">EventSignal MVP · </t>
    </r>
    <r>
      <rPr>
        <b/>
        <sz val="15"/>
        <color rgb="FFFFFFFF"/>
        <rFont val="Noto Sans CJK SC"/>
        <family val="2"/>
      </rPr>
      <t>三週工作分配總表（</t>
    </r>
    <r>
      <rPr>
        <b/>
        <sz val="15"/>
        <color rgb="FFFFFFFF"/>
        <rFont val="Microsoft JhengHei"/>
        <family val="2"/>
        <charset val="136"/>
      </rPr>
      <t xml:space="preserve">7 </t>
    </r>
    <r>
      <rPr>
        <b/>
        <sz val="15"/>
        <color rgb="FFFFFFFF"/>
        <rFont val="Noto Sans CJK SC"/>
        <family val="2"/>
      </rPr>
      <t>人）</t>
    </r>
  </si>
  <si>
    <t>成員 Nash–Haoche（Haoche＝統籌/merge）｜高優先任務配置 2–3 人｜3 週 / D1–D15。此表為看板網頁的資料來源，修改後重新載入即可同步。</t>
  </si>
  <si>
    <t>任務ID</t>
  </si>
  <si>
    <t>週次</t>
  </si>
  <si>
    <t>模組</t>
  </si>
  <si>
    <t>子任務</t>
  </si>
  <si>
    <t>負責</t>
  </si>
  <si>
    <t>人數</t>
  </si>
  <si>
    <t>優先度</t>
  </si>
  <si>
    <t>起始日</t>
  </si>
  <si>
    <t>結束日</t>
  </si>
  <si>
    <t>天數</t>
  </si>
  <si>
    <t>相依</t>
  </si>
  <si>
    <t>交付物</t>
  </si>
  <si>
    <t>操作備註（方向/前置）</t>
  </si>
  <si>
    <t>T00</t>
  </si>
  <si>
    <t>跨全程</t>
  </si>
  <si>
    <t>整合</t>
  </si>
  <si>
    <r>
      <rPr>
        <sz val="10"/>
        <rFont val="Microsoft JhengHei"/>
        <family val="2"/>
        <charset val="136"/>
      </rPr>
      <t xml:space="preserve">Git </t>
    </r>
    <r>
      <rPr>
        <sz val="10"/>
        <rFont val="Noto Sans CJK SC"/>
        <family val="2"/>
      </rPr>
      <t xml:space="preserve">進度整合 </t>
    </r>
    <r>
      <rPr>
        <sz val="10"/>
        <rFont val="Microsoft JhengHei"/>
        <family val="2"/>
        <charset val="136"/>
      </rPr>
      <t xml:space="preserve">· </t>
    </r>
    <r>
      <rPr>
        <sz val="10"/>
        <rFont val="Noto Sans CJK SC"/>
        <family val="2"/>
      </rPr>
      <t xml:space="preserve">架構與技術細節掌握 </t>
    </r>
    <r>
      <rPr>
        <sz val="10"/>
        <rFont val="Microsoft JhengHei"/>
        <family val="2"/>
        <charset val="136"/>
      </rPr>
      <t xml:space="preserve">· </t>
    </r>
    <r>
      <rPr>
        <sz val="10"/>
        <rFont val="Noto Sans CJK SC"/>
        <family val="2"/>
      </rPr>
      <t>必要支援</t>
    </r>
  </si>
  <si>
    <t>Haoche</t>
  </si>
  <si>
    <t>高</t>
  </si>
  <si>
    <t>-</t>
  </si>
  <si>
    <t>每週進度同步 + merge + 架構掌握</t>
  </si>
  <si>
    <t>• 前置：裝 Git、拿專案+kanbanBoard 兩 repo 權限、設 user.name/email
• 每日：先 git pull main、更新看板任務狀態
• merge：衝突先開會對齊再合，只合併不改模組邏輯
• 掌握：讀 02_SA 架構、03_SD 資料模型、04_API 契約，能答各模組介面
• 支援：優先幫卡關的人，尤其跨模組介接</t>
  </si>
  <si>
    <t>T01</t>
  </si>
  <si>
    <t>第一週</t>
  </si>
  <si>
    <t>地基/架構</t>
  </si>
  <si>
    <t>開發環境 + Docker Compose（db 服務先起）</t>
  </si>
  <si>
    <t>Nash·Timyo·Haoche</t>
  </si>
  <si>
    <r>
      <rPr>
        <sz val="10"/>
        <rFont val="Microsoft JhengHei"/>
        <family val="2"/>
        <charset val="136"/>
      </rPr>
      <t xml:space="preserve">docker-compose </t>
    </r>
    <r>
      <rPr>
        <sz val="10"/>
        <rFont val="Noto Sans CJK SC"/>
        <family val="2"/>
      </rPr>
      <t xml:space="preserve">能起 </t>
    </r>
    <r>
      <rPr>
        <sz val="10"/>
        <rFont val="Microsoft JhengHei"/>
        <family val="2"/>
        <charset val="136"/>
      </rPr>
      <t>db</t>
    </r>
  </si>
  <si>
    <r>
      <rPr>
        <sz val="9"/>
        <rFont val="Noto Sans CJK SC"/>
        <family val="2"/>
      </rPr>
      <t xml:space="preserve">• 環境：裝 </t>
    </r>
    <r>
      <rPr>
        <sz val="9"/>
        <rFont val="Microsoft JhengHei"/>
        <family val="2"/>
        <charset val="136"/>
      </rPr>
      <t>Docker Desktop</t>
    </r>
    <r>
      <rPr>
        <sz val="9"/>
        <rFont val="Noto Sans CJK SC"/>
        <family val="2"/>
      </rPr>
      <t>，</t>
    </r>
    <r>
      <rPr>
        <sz val="9"/>
        <rFont val="Microsoft JhengHei"/>
        <family val="2"/>
        <charset val="136"/>
      </rPr>
      <t xml:space="preserve">docker compose version </t>
    </r>
    <r>
      <rPr>
        <sz val="9"/>
        <rFont val="Noto Sans CJK SC"/>
        <family val="2"/>
      </rPr>
      <t xml:space="preserve">可跑
• 檔案：寫 </t>
    </r>
    <r>
      <rPr>
        <sz val="9"/>
        <rFont val="Microsoft JhengHei"/>
        <family val="2"/>
        <charset val="136"/>
      </rPr>
      <t xml:space="preserve">docker-compose.yml </t>
    </r>
    <r>
      <rPr>
        <sz val="9"/>
        <rFont val="Noto Sans CJK SC"/>
        <family val="2"/>
      </rPr>
      <t xml:space="preserve">的 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>服務，</t>
    </r>
    <r>
      <rPr>
        <sz val="9"/>
        <rFont val="Microsoft JhengHei"/>
        <family val="2"/>
        <charset val="136"/>
      </rPr>
      <t>image pgvector/pgvector:pg16
• 先做：只起 db</t>
    </r>
    <r>
      <rPr>
        <sz val="9"/>
        <rFont val="Noto Sans CJK SC"/>
        <family val="2"/>
      </rPr>
      <t>（</t>
    </r>
    <r>
      <rPr>
        <sz val="9"/>
        <rFont val="Microsoft JhengHei"/>
        <family val="2"/>
        <charset val="136"/>
      </rPr>
      <t>compose up -d db</t>
    </r>
    <r>
      <rPr>
        <sz val="9"/>
        <rFont val="Noto Sans CJK SC"/>
        <family val="2"/>
      </rPr>
      <t xml:space="preserve">），能用 </t>
    </r>
    <r>
      <rPr>
        <sz val="9"/>
        <rFont val="Microsoft JhengHei"/>
        <family val="2"/>
        <charset val="136"/>
      </rPr>
      <t xml:space="preserve">DBeaver/psql </t>
    </r>
    <r>
      <rPr>
        <sz val="9"/>
        <rFont val="Noto Sans CJK SC"/>
        <family val="2"/>
      </rPr>
      <t>連上就算過
• 存哪：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 xml:space="preserve">資料掛 </t>
    </r>
    <r>
      <rPr>
        <sz val="9"/>
        <rFont val="Microsoft JhengHei"/>
        <family val="2"/>
        <charset val="136"/>
      </rPr>
      <t>volume</t>
    </r>
    <r>
      <rPr>
        <sz val="9"/>
        <rFont val="Noto Sans CJK SC"/>
        <family val="2"/>
      </rPr>
      <t>，容器重建資料不消失
• 秘密：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 xml:space="preserve">密碼放 </t>
    </r>
    <r>
      <rPr>
        <sz val="9"/>
        <rFont val="Microsoft JhengHei"/>
        <family val="2"/>
        <charset val="136"/>
      </rPr>
      <t>.env</t>
    </r>
    <r>
      <rPr>
        <sz val="9"/>
        <rFont val="Noto Sans CJK SC"/>
        <family val="2"/>
      </rPr>
      <t xml:space="preserve">（複製 </t>
    </r>
    <r>
      <rPr>
        <sz val="9"/>
        <rFont val="Microsoft JhengHei"/>
        <family val="2"/>
        <charset val="136"/>
      </rPr>
      <t>.env.example</t>
    </r>
    <r>
      <rPr>
        <sz val="9"/>
        <rFont val="Noto Sans CJK SC"/>
        <family val="2"/>
      </rPr>
      <t xml:space="preserve">），別寫死
• ★ 這步是全隊地基：你做完別人才連得上資料庫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</si>
  <si>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T02</t>
  </si>
  <si>
    <r>
      <rPr>
        <sz val="10"/>
        <rFont val="Microsoft JhengHei"/>
        <family val="2"/>
        <charset val="136"/>
      </rPr>
      <t xml:space="preserve">PostgreSQL + pgvector </t>
    </r>
    <r>
      <rPr>
        <sz val="10"/>
        <rFont val="Noto Sans CJK SC"/>
        <family val="2"/>
      </rPr>
      <t xml:space="preserve">建置 </t>
    </r>
    <r>
      <rPr>
        <sz val="10"/>
        <rFont val="Microsoft JhengHei"/>
        <family val="2"/>
        <charset val="136"/>
      </rPr>
      <t>+ init.sql</t>
    </r>
  </si>
  <si>
    <t>Nash·Haoche</t>
  </si>
  <si>
    <t>可連線的向量資料庫</t>
  </si>
  <si>
    <r>
      <rPr>
        <sz val="9"/>
        <rFont val="Noto Sans CJK SC"/>
        <family val="2"/>
      </rPr>
      <t>• 環境：</t>
    </r>
    <r>
      <rPr>
        <sz val="9"/>
        <rFont val="Microsoft JhengHei"/>
        <family val="2"/>
        <charset val="136"/>
      </rPr>
      <t xml:space="preserve">T01 </t>
    </r>
    <r>
      <rPr>
        <sz val="9"/>
        <rFont val="Noto Sans CJK SC"/>
        <family val="2"/>
      </rPr>
      <t xml:space="preserve">的 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>容器要先起來
• 檔案：</t>
    </r>
    <r>
      <rPr>
        <sz val="9"/>
        <rFont val="Microsoft JhengHei"/>
        <family val="2"/>
        <charset val="136"/>
      </rPr>
      <t xml:space="preserve">infra/postgres/init.sql </t>
    </r>
    <r>
      <rPr>
        <sz val="9"/>
        <rFont val="Noto Sans CJK SC"/>
        <family val="2"/>
      </rPr>
      <t xml:space="preserve">寫 </t>
    </r>
    <r>
      <rPr>
        <sz val="9"/>
        <rFont val="Microsoft JhengHei"/>
        <family val="2"/>
        <charset val="136"/>
      </rPr>
      <t>CREATE EXTENSION vector;
• 注意：向量欄位維度 = 1024</t>
    </r>
    <r>
      <rPr>
        <sz val="9"/>
        <rFont val="Noto Sans CJK SC"/>
        <family val="2"/>
      </rPr>
      <t>（</t>
    </r>
    <r>
      <rPr>
        <sz val="9"/>
        <rFont val="Microsoft JhengHei"/>
        <family val="2"/>
        <charset val="136"/>
      </rPr>
      <t>BGE-M3</t>
    </r>
    <r>
      <rPr>
        <sz val="9"/>
        <rFont val="Noto Sans CJK SC"/>
        <family val="2"/>
      </rPr>
      <t xml:space="preserve">）
• 驗證：能建一張含 </t>
    </r>
    <r>
      <rPr>
        <sz val="9"/>
        <rFont val="Microsoft JhengHei"/>
        <family val="2"/>
        <charset val="136"/>
      </rPr>
      <t xml:space="preserve">vector(1024) </t>
    </r>
    <r>
      <rPr>
        <sz val="9"/>
        <rFont val="Noto Sans CJK SC"/>
        <family val="2"/>
      </rPr>
      <t xml:space="preserve">的測試表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</si>
  <si>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T03</t>
  </si>
  <si>
    <t>資料表 schema 設計（articles/events/chip_data）</t>
  </si>
  <si>
    <t>Nash·Bright·Haoche</t>
  </si>
  <si>
    <t>三張表 DDL + ORM models</t>
  </si>
  <si>
    <r>
      <rPr>
        <sz val="9"/>
        <rFont val="Noto Sans CJK SC"/>
        <family val="2"/>
      </rPr>
      <t xml:space="preserve">• 環境：需 </t>
    </r>
    <r>
      <rPr>
        <sz val="9"/>
        <rFont val="Microsoft JhengHei"/>
        <family val="2"/>
        <charset val="136"/>
      </rPr>
      <t xml:space="preserve">Nash </t>
    </r>
    <r>
      <rPr>
        <sz val="9"/>
        <rFont val="Noto Sans CJK SC"/>
        <family val="2"/>
      </rPr>
      <t xml:space="preserve">的 </t>
    </r>
    <r>
      <rPr>
        <sz val="9"/>
        <rFont val="Microsoft JhengHei"/>
        <family val="2"/>
        <charset val="136"/>
      </rPr>
      <t xml:space="preserve">db(T01)+pgvector(T02) </t>
    </r>
    <r>
      <rPr>
        <sz val="9"/>
        <rFont val="Noto Sans CJK SC"/>
        <family val="2"/>
      </rPr>
      <t xml:space="preserve">就緒
• 前置：先讀 </t>
    </r>
    <r>
      <rPr>
        <sz val="9"/>
        <rFont val="Microsoft JhengHei"/>
        <family val="2"/>
        <charset val="136"/>
      </rPr>
      <t xml:space="preserve">03_SD §1 </t>
    </r>
    <r>
      <rPr>
        <sz val="9"/>
        <rFont val="Noto Sans CJK SC"/>
        <family val="2"/>
      </rPr>
      <t>三個資料物件
• 檔案：</t>
    </r>
    <r>
      <rPr>
        <sz val="9"/>
        <rFont val="Microsoft JhengHei"/>
        <family val="2"/>
        <charset val="136"/>
      </rPr>
      <t>backend/app/models/{article,event,chip_data}.py + Alembic migration
• 三張表：articles</t>
    </r>
    <r>
      <rPr>
        <sz val="9"/>
        <rFont val="Noto Sans CJK SC"/>
        <family val="2"/>
      </rPr>
      <t xml:space="preserve">（含 </t>
    </r>
    <r>
      <rPr>
        <sz val="9"/>
        <rFont val="Microsoft JhengHei"/>
        <family val="2"/>
        <charset val="136"/>
      </rPr>
      <t xml:space="preserve">status </t>
    </r>
    <r>
      <rPr>
        <sz val="9"/>
        <rFont val="Noto Sans CJK SC"/>
        <family val="2"/>
      </rPr>
      <t>欄位）、</t>
    </r>
    <r>
      <rPr>
        <sz val="9"/>
        <rFont val="Microsoft JhengHei"/>
        <family val="2"/>
        <charset val="136"/>
      </rPr>
      <t>events</t>
    </r>
    <r>
      <rPr>
        <sz val="9"/>
        <rFont val="Noto Sans CJK SC"/>
        <family val="2"/>
      </rPr>
      <t xml:space="preserve">（含 </t>
    </r>
    <r>
      <rPr>
        <sz val="9"/>
        <rFont val="Microsoft JhengHei"/>
        <family val="2"/>
        <charset val="136"/>
      </rPr>
      <t xml:space="preserve">pgvector </t>
    </r>
    <r>
      <rPr>
        <sz val="9"/>
        <rFont val="Noto Sans CJK SC"/>
        <family val="2"/>
      </rPr>
      <t>向量）、</t>
    </r>
    <r>
      <rPr>
        <sz val="9"/>
        <rFont val="Microsoft JhengHei"/>
        <family val="2"/>
        <charset val="136"/>
      </rPr>
      <t>chip_data</t>
    </r>
    <r>
      <rPr>
        <sz val="9"/>
        <rFont val="Noto Sans CJK SC"/>
        <family val="2"/>
      </rPr>
      <t>（</t>
    </r>
    <r>
      <rPr>
        <sz val="9"/>
        <rFont val="Microsoft JhengHei"/>
        <family val="2"/>
        <charset val="136"/>
      </rPr>
      <t xml:space="preserve">(ticker,date) </t>
    </r>
    <r>
      <rPr>
        <sz val="9"/>
        <rFont val="Noto Sans CJK SC"/>
        <family val="2"/>
      </rPr>
      <t>為鍵）
• ★ 這步做完，爬蟲</t>
    </r>
    <r>
      <rPr>
        <sz val="9"/>
        <rFont val="Microsoft JhengHei"/>
        <family val="2"/>
        <charset val="136"/>
      </rPr>
      <t>/</t>
    </r>
    <r>
      <rPr>
        <sz val="9"/>
        <rFont val="Noto Sans CJK SC"/>
        <family val="2"/>
      </rPr>
      <t>評分</t>
    </r>
    <r>
      <rPr>
        <sz val="9"/>
        <rFont val="Microsoft JhengHei"/>
        <family val="2"/>
        <charset val="136"/>
      </rPr>
      <t xml:space="preserve">/API </t>
    </r>
    <r>
      <rPr>
        <sz val="9"/>
        <rFont val="Noto Sans CJK SC"/>
        <family val="2"/>
      </rPr>
      <t>才有表可寫；</t>
    </r>
    <r>
      <rPr>
        <sz val="9"/>
        <rFont val="Microsoft JhengHei"/>
        <family val="2"/>
        <charset val="136"/>
      </rPr>
      <t xml:space="preserve">articles.status </t>
    </r>
    <r>
      <rPr>
        <sz val="9"/>
        <rFont val="Noto Sans CJK SC"/>
        <family val="2"/>
      </rPr>
      <t>是交接棒</t>
    </r>
    <r>
      <rPr>
        <sz val="9"/>
        <rFont val="Microsoft JhengHei"/>
        <family val="2"/>
        <charset val="136"/>
      </rPr>
      <t>(pending→…)</t>
    </r>
    <r>
      <rPr>
        <sz val="9"/>
        <rFont val="Noto Sans CJK SC"/>
        <family val="2"/>
      </rPr>
      <t xml:space="preserve">別漏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</si>
  <si>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T04</t>
  </si>
  <si>
    <r>
      <rPr>
        <sz val="10"/>
        <rFont val="Microsoft JhengHei"/>
        <family val="2"/>
        <charset val="136"/>
      </rPr>
      <t xml:space="preserve">API </t>
    </r>
    <r>
      <rPr>
        <sz val="10"/>
        <rFont val="Noto Sans CJK SC"/>
        <family val="2"/>
      </rPr>
      <t>契約定稿（</t>
    </r>
    <r>
      <rPr>
        <sz val="10"/>
        <rFont val="Microsoft JhengHei"/>
        <family val="2"/>
        <charset val="136"/>
      </rPr>
      <t xml:space="preserve">schemas + </t>
    </r>
    <r>
      <rPr>
        <sz val="10"/>
        <rFont val="Noto Sans CJK SC"/>
        <family val="2"/>
      </rPr>
      <t>端點）</t>
    </r>
  </si>
  <si>
    <t>Nash·Jenny·Haoche</t>
  </si>
  <si>
    <r>
      <rPr>
        <sz val="10"/>
        <rFont val="Microsoft JhengHei"/>
        <family val="2"/>
        <charset val="136"/>
      </rPr>
      <t xml:space="preserve">OpenAPI </t>
    </r>
    <r>
      <rPr>
        <sz val="10"/>
        <rFont val="Noto Sans CJK SC"/>
        <family val="2"/>
      </rPr>
      <t xml:space="preserve">契約 </t>
    </r>
    <r>
      <rPr>
        <sz val="10"/>
        <rFont val="Microsoft JhengHei"/>
        <family val="2"/>
        <charset val="136"/>
      </rPr>
      <t xml:space="preserve">+ Mock </t>
    </r>
    <r>
      <rPr>
        <sz val="10"/>
        <rFont val="Noto Sans CJK SC"/>
        <family val="2"/>
      </rPr>
      <t>回應</t>
    </r>
  </si>
  <si>
    <t>• 前置：讀 04_API.md 既有契約
• 檔案：backend/app/schemas/event.py（Pydantic）+ api/ 端點
• 先做：端點先回 Mock 假資料 → Jenny 前端可並行（契約優先）
• ★ 契約定稿前先別各寫各的欄位，先對齊
• 主鍵：對外主角是 event_id</t>
  </si>
  <si>
    <t>T05</t>
  </si>
  <si>
    <t>資料來源/爬蟲</t>
  </si>
  <si>
    <t>來源研究與分級（MOPS/工商/經濟/鉅亨）</t>
  </si>
  <si>
    <t>Arku</t>
  </si>
  <si>
    <t>來源分級表 + 合規評估</t>
  </si>
  <si>
    <t>• 環境：無（純研究），Python venv 即可
• 查：各站 robots.txt、Crawl-delay、著作權
• 產出：來源分級表（可信度/時效/取得難度/法務風險）
• 界線：媒體只存 標題+導言/摘要+發佈時間+原始連結；不爬 PTT/Dcard；付費國際媒體先不碰</t>
  </si>
  <si>
    <t>T06</t>
  </si>
  <si>
    <t>爬蟲清洗雛形（標準化文章物件）</t>
  </si>
  <si>
    <t>Arku·Jenny</t>
  </si>
  <si>
    <t>可跑出文章物件的爬蟲</t>
  </si>
  <si>
    <t>• 環境：建 venv + pip install -r backend/requirements.txt
• ★ 要寫入資料庫需先有 Nash 的 db(T01) + articles 表(T03)；.env 設 DATABASE_URL 連同一個 db
• 此階段可先產出「文章物件」印出來看，不一定馬上入庫
• 檔案：backend/app/pipeline/crawler/{base,mops,media}.py（03_SD §1.1 欄位）
• 標註：related_tickers 用公司名↔代號對照表；先只做明確單一公司</t>
  </si>
  <si>
    <t>T07</t>
  </si>
  <si>
    <t>向量化/去重</t>
  </si>
  <si>
    <r>
      <rPr>
        <sz val="10"/>
        <rFont val="Microsoft JhengHei"/>
        <family val="2"/>
        <charset val="136"/>
      </rPr>
      <t xml:space="preserve">Embedding </t>
    </r>
    <r>
      <rPr>
        <sz val="10"/>
        <rFont val="Noto Sans CJK SC"/>
        <family val="2"/>
      </rPr>
      <t>技術實驗（凍結樣本，全員玩）</t>
    </r>
  </si>
  <si>
    <t>全員</t>
  </si>
  <si>
    <t>各自實驗心得 + 凍結樣本</t>
  </si>
  <si>
    <t>• 環境：本機 venv + pip install FlagEmbedding；**不需資料庫**（用樣本檔）
• 前置：Arku 先給約 500 篇清洗好文章，匯成 data/samples/articles_frozen.jsonl（全員同一份）
• 在哪：各自在 experiments/ 開 notebook 玩，拋棄式
• 界線：實驗向量留本機，別進正式 Postgres
• 交什麼：一頁心得（模型/維度/前處理/閾值觀察）</t>
  </si>
  <si>
    <t>T08</t>
  </si>
  <si>
    <t>前端/UX</t>
  </si>
  <si>
    <t>使用者旅程 + 線框圖（4 畫面）</t>
  </si>
  <si>
    <t>Jenny</t>
  </si>
  <si>
    <t>中</t>
  </si>
  <si>
    <r>
      <rPr>
        <sz val="10"/>
        <rFont val="Microsoft JhengHei"/>
        <family val="2"/>
        <charset val="136"/>
      </rPr>
      <t xml:space="preserve">3 </t>
    </r>
    <r>
      <rPr>
        <sz val="10"/>
        <rFont val="Noto Sans CJK SC"/>
        <family val="2"/>
      </rPr>
      <t xml:space="preserve">條旅程 </t>
    </r>
    <r>
      <rPr>
        <sz val="10"/>
        <rFont val="Microsoft JhengHei"/>
        <family val="2"/>
        <charset val="136"/>
      </rPr>
      <t>+ wireframe</t>
    </r>
  </si>
  <si>
    <t>• 環境：無（設計），用 Figma 或紙筆
• 前置：讀 01_PRD 線框圖與三條旅程
• 產出：首頁/詳情/時間線至少各一張 wireframe
• 規則：每個畫面元素標「用到哪個 API 欄位」；極簡分層揭露</t>
  </si>
  <si>
    <t>T09</t>
  </si>
  <si>
    <t>評分/籌碼</t>
  </si>
  <si>
    <r>
      <rPr>
        <sz val="10"/>
        <rFont val="Microsoft JhengHei"/>
        <family val="2"/>
        <charset val="136"/>
      </rPr>
      <t xml:space="preserve">FinMind </t>
    </r>
    <r>
      <rPr>
        <sz val="10"/>
        <rFont val="Noto Sans CJK SC"/>
        <family val="2"/>
      </rPr>
      <t xml:space="preserve">資料源研究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認證測試</t>
    </r>
  </si>
  <si>
    <t>Bright</t>
  </si>
  <si>
    <t>取數可行性報告</t>
  </si>
  <si>
    <t>• 你之前用過 FinMind，快速確認即可（2 天）
• token 放 .env 的 FINMIND_TOKEN
• 測：三大法人 InstitutionalInvestorsBuySell、股價量 TaiwanStockPrice
• 交付：把要用的資料欄位＋單位整理一頁，交 Haoche 與全組確認沒問題再往下</t>
  </si>
  <si>
    <t>T10</t>
  </si>
  <si>
    <t>第二週</t>
  </si>
  <si>
    <t>爬蟲正式化 + ticker 標註 + 寫入 articles 表</t>
  </si>
  <si>
    <r>
      <rPr>
        <sz val="10"/>
        <rFont val="Microsoft JhengHei"/>
        <family val="2"/>
        <charset val="136"/>
      </rPr>
      <t xml:space="preserve">articles </t>
    </r>
    <r>
      <rPr>
        <sz val="10"/>
        <rFont val="Noto Sans CJK SC"/>
        <family val="2"/>
      </rPr>
      <t>表持續進資料</t>
    </r>
  </si>
  <si>
    <t>• ★ 環境：務必先確認 Nash 的 db 起來（compose up -d db）+ articles 表建好(T03)
• 本機 .env 設 DATABASE_URL，全員連同一個 db
• 做什麼：多來源整合、穩定排程抓取
• 存哪：寫入 articles 表 status='pending'，保留原始連結、標 related_tickers
• 注意：尊重 Crawl-delay，不高頻抓</t>
  </si>
  <si>
    <t>T11</t>
  </si>
  <si>
    <r>
      <rPr>
        <sz val="10"/>
        <rFont val="Microsoft JhengHei"/>
        <family val="2"/>
        <charset val="136"/>
      </rPr>
      <t xml:space="preserve">Embedding </t>
    </r>
    <r>
      <rPr>
        <sz val="10"/>
        <rFont val="Noto Sans CJK SC"/>
        <family val="2"/>
      </rPr>
      <t xml:space="preserve">心得整合 </t>
    </r>
    <r>
      <rPr>
        <sz val="10"/>
        <rFont val="Microsoft JhengHei"/>
        <family val="2"/>
        <charset val="136"/>
      </rPr>
      <t xml:space="preserve">+ BGE-M3 </t>
    </r>
    <r>
      <rPr>
        <sz val="10"/>
        <rFont val="Noto Sans CJK SC"/>
        <family val="2"/>
      </rPr>
      <t>定案</t>
    </r>
  </si>
  <si>
    <t>Timyo</t>
  </si>
  <si>
    <t>定案參數(模型/維度/前處理/閾值)</t>
  </si>
  <si>
    <t>• ★ 環境：需 db(T01)+events 表(T03)；模型檔放 data/models/（別進 git）
• 前置：彙整 T07 全員心得
• 定案：模型 / 維度1024 / 前處理 / 去重閾值 一組寫死
• 檔案：backend/app/pipeline/embedding/bge_m3.py
• 存哪：讀 articles(pending) → 算向量 → 寫 events.embedding → status=vectorized</t>
  </si>
  <si>
    <t>T12</t>
  </si>
  <si>
    <t>去重聚類實作（Cosine&gt;0.65 + 連通分量）</t>
  </si>
  <si>
    <t>多篇收斂成事件物件</t>
  </si>
  <si>
    <t>• ★ 環境：需 db + events 表(T03)，且已有向量(status=vectorized)
• 做什麼：Cosine&gt;0.65 + 連通分量 → 合併成事件物件
• 存/標：保留所有來源連結、標 has_unique_detail；status→clustered
• 驗證：golden set 算 F1（配合 T23）</t>
  </si>
  <si>
    <t>T13</t>
  </si>
  <si>
    <r>
      <rPr>
        <b/>
        <sz val="10"/>
        <color rgb="FFFFFFFF"/>
        <rFont val="Microsoft JhengHei"/>
        <family val="2"/>
        <charset val="136"/>
      </rPr>
      <t xml:space="preserve">LLM </t>
    </r>
    <r>
      <rPr>
        <b/>
        <sz val="10"/>
        <color rgb="FFFFFFFF"/>
        <rFont val="Noto Sans CJK SC"/>
        <family val="2"/>
      </rPr>
      <t>摘要</t>
    </r>
    <r>
      <rPr>
        <b/>
        <sz val="10"/>
        <color rgb="FFFFFFFF"/>
        <rFont val="Microsoft JhengHei"/>
        <family val="2"/>
        <charset val="136"/>
      </rPr>
      <t>/</t>
    </r>
    <r>
      <rPr>
        <b/>
        <sz val="10"/>
        <color rgb="FFFFFFFF"/>
        <rFont val="Noto Sans CJK SC"/>
        <family val="2"/>
      </rPr>
      <t>分類</t>
    </r>
  </si>
  <si>
    <r>
      <rPr>
        <sz val="10"/>
        <rFont val="Microsoft JhengHei"/>
        <family val="2"/>
        <charset val="136"/>
      </rPr>
      <t xml:space="preserve">Prompt </t>
    </r>
    <r>
      <rPr>
        <sz val="10"/>
        <rFont val="Noto Sans CJK SC"/>
        <family val="2"/>
      </rPr>
      <t xml:space="preserve">設計（摘要 </t>
    </r>
    <r>
      <rPr>
        <sz val="10"/>
        <rFont val="Microsoft JhengHei"/>
        <family val="2"/>
        <charset val="136"/>
      </rPr>
      <t>+ 9</t>
    </r>
    <r>
      <rPr>
        <sz val="10"/>
        <rFont val="Noto Sans CJK SC"/>
        <family val="2"/>
      </rPr>
      <t xml:space="preserve">類分類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方向，同一次）</t>
    </r>
  </si>
  <si>
    <t>MMJSUN</t>
  </si>
  <si>
    <t>可用 prompt 範本</t>
  </si>
  <si>
    <t>• ★ 環境：需 db + events 表(T03) + .env 的 LLM_API_KEY
• 前置：讀 07_Prompt範本
• 做什麼：一次呼叫輸出 摘要+9類+方向+status+confidence_note
• 檔案：backend/app/pipeline/llm/summarize.py
• 注意：Structured Output 保證合法 JSON；媒體輸入是導言/摘要非全文</t>
  </si>
  <si>
    <t>T14</t>
  </si>
  <si>
    <r>
      <rPr>
        <sz val="10"/>
        <rFont val="Microsoft JhengHei"/>
        <family val="2"/>
        <charset val="136"/>
      </rPr>
      <t xml:space="preserve">LLM </t>
    </r>
    <r>
      <rPr>
        <sz val="10"/>
        <rFont val="Noto Sans CJK SC"/>
        <family val="2"/>
      </rPr>
      <t xml:space="preserve">選型 </t>
    </r>
    <r>
      <rPr>
        <sz val="10"/>
        <rFont val="Microsoft JhengHei"/>
        <family val="2"/>
        <charset val="136"/>
      </rPr>
      <t xml:space="preserve">+ Structured Output </t>
    </r>
    <r>
      <rPr>
        <sz val="10"/>
        <rFont val="Noto Sans CJK SC"/>
        <family val="2"/>
      </rPr>
      <t>整合</t>
    </r>
  </si>
  <si>
    <t>穩定 JSON 輸出模組</t>
  </si>
  <si>
    <t>• 環境：同 T13（需 LLM_API_KEY）
• 前置：T13 prompt 就緒
• 比較：GPT-4.1-mini vs Gemini Flash-Lite（繁中/成本/穩定）
• 省成本：固定前綴用 prompt caching
• 存哪：寫回事件，status→summarized</t>
  </si>
  <si>
    <t>T15</t>
  </si>
  <si>
    <t>重要性五維評分（可拆解）</t>
  </si>
  <si>
    <r>
      <rPr>
        <sz val="10"/>
        <rFont val="Microsoft JhengHei"/>
        <family val="2"/>
        <charset val="136"/>
      </rPr>
      <t xml:space="preserve">★1-5 + </t>
    </r>
    <r>
      <rPr>
        <sz val="10"/>
        <rFont val="Noto Sans CJK SC"/>
        <family val="2"/>
      </rPr>
      <t>理由拆解</t>
    </r>
  </si>
  <si>
    <t>• ★ 環境：需 db + events 表(T03)
• 檔案：backend/app/pipeline/scoring/importance.py
• 做什麼：五維加權（來源廣度/權威/影響/類型/新穎）→ ★1-5
• 鐵律：每個分數要能拆解理由，不能只給星等
• 交付：權重與範例打分交 Haoche 抽驗</t>
  </si>
  <si>
    <t>T16</t>
  </si>
  <si>
    <r>
      <rPr>
        <sz val="10"/>
        <rFont val="Microsoft JhengHei"/>
        <family val="2"/>
        <charset val="136"/>
      </rPr>
      <t xml:space="preserve">FinMind </t>
    </r>
    <r>
      <rPr>
        <sz val="10"/>
        <rFont val="Noto Sans CJK SC"/>
        <family val="2"/>
      </rPr>
      <t xml:space="preserve">每日批次 </t>
    </r>
    <r>
      <rPr>
        <sz val="10"/>
        <rFont val="Microsoft JhengHei"/>
        <family val="2"/>
        <charset val="136"/>
      </rPr>
      <t xml:space="preserve">+ ChipData </t>
    </r>
    <r>
      <rPr>
        <sz val="10"/>
        <rFont val="Noto Sans CJK SC"/>
        <family val="2"/>
      </rPr>
      <t>衍生欄位</t>
    </r>
  </si>
  <si>
    <r>
      <rPr>
        <sz val="10"/>
        <rFont val="Microsoft JhengHei"/>
        <family val="2"/>
        <charset val="136"/>
      </rPr>
      <t>ChipData(</t>
    </r>
    <r>
      <rPr>
        <sz val="10"/>
        <rFont val="Noto Sans CJK SC"/>
        <family val="2"/>
      </rPr>
      <t>連續天數</t>
    </r>
    <r>
      <rPr>
        <sz val="10"/>
        <rFont val="Microsoft JhengHei"/>
        <family val="2"/>
        <charset val="136"/>
      </rPr>
      <t>/</t>
    </r>
    <r>
      <rPr>
        <sz val="10"/>
        <rFont val="Noto Sans CJK SC"/>
        <family val="2"/>
      </rPr>
      <t>占均量</t>
    </r>
    <r>
      <rPr>
        <sz val="10"/>
        <rFont val="Microsoft JhengHei"/>
        <family val="2"/>
        <charset val="136"/>
      </rPr>
      <t>/σ/</t>
    </r>
    <r>
      <rPr>
        <sz val="10"/>
        <rFont val="Noto Sans CJK SC"/>
        <family val="2"/>
      </rPr>
      <t>報酬</t>
    </r>
    <r>
      <rPr>
        <sz val="10"/>
        <rFont val="Microsoft JhengHei"/>
        <family val="2"/>
        <charset val="136"/>
      </rPr>
      <t>)</t>
    </r>
  </si>
  <si>
    <t>• ★ 環境：需 db + chip_data 表(T03) + .env 的 FINMIND_TOKEN
• 檔案：backend/app/finmind/{client,daily_batch}.py
• 做什麼：盤後抓原始 → 算衍生（連續天數/占均量比/量比/1,3,5日報酬/σ）
• 存哪：Postgres chip_data 表，(ticker,date) 為鍵
• 交付：先抓一支股票的 ChipData 樣本交 Haoche 抽驗，欄位對了再全量</t>
  </si>
  <si>
    <t>T17</t>
  </si>
  <si>
    <t>市場驗證分數（三訊號 + 一致性閘門 + 狀態機）</t>
  </si>
  <si>
    <t>Bright·Nash·MMJSUN</t>
  </si>
  <si>
    <r>
      <rPr>
        <sz val="10"/>
        <rFont val="Microsoft JhengHei"/>
        <family val="2"/>
        <charset val="136"/>
      </rPr>
      <t xml:space="preserve">0-100 </t>
    </r>
    <r>
      <rPr>
        <sz val="10"/>
        <rFont val="Noto Sans CJK SC"/>
        <family val="2"/>
      </rPr>
      <t xml:space="preserve">分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 xml:space="preserve">可拆解 </t>
    </r>
    <r>
      <rPr>
        <sz val="10"/>
        <rFont val="Microsoft JhengHei"/>
        <family val="2"/>
        <charset val="136"/>
      </rPr>
      <t>breakdown</t>
    </r>
  </si>
  <si>
    <t>• ★ 環境：需 db + chip_data/events 表(T03)，且 T16 ChipData 已入庫
• 檔案：backend/app/pipeline/scoring/market_validation.py
• 做什麼：三訊號一致性×強度 + 一致性閘門 + 狀態機(D0→D+5) → 0-100
• 定案前：分數方向與閾值先與 Haoche 對一次再實作（這塊最主觀，先對齊省得重做）
• 注意：方向把握度低略過閘門、只列原始數據；附「非預測」；status→scored</t>
  </si>
  <si>
    <t>T18</t>
  </si>
  <si>
    <t>前端框架初始化 + 首頁（Mock 資料）</t>
  </si>
  <si>
    <t>今日 5 大事件首頁</t>
  </si>
  <si>
    <t>• ★ 環境：需 T04 的 Mock API 跑起來（uvicorn）；前端 npm install
• 做什麼：前端框架初始化，做「今日 5 大事件」首頁先串 Mock
• 檔案：frontend/
• 規則：卡片顯示 標題+星等+市場驗證分數</t>
  </si>
  <si>
    <t>T19</t>
  </si>
  <si>
    <r>
      <rPr>
        <sz val="10"/>
        <rFont val="Microsoft JhengHei"/>
        <family val="2"/>
        <charset val="136"/>
      </rPr>
      <t xml:space="preserve">FastAPI </t>
    </r>
    <r>
      <rPr>
        <sz val="10"/>
        <rFont val="Noto Sans CJK SC"/>
        <family val="2"/>
      </rPr>
      <t xml:space="preserve">端點實作（讀 </t>
    </r>
    <r>
      <rPr>
        <sz val="10"/>
        <rFont val="Microsoft JhengHei"/>
        <family val="2"/>
        <charset val="136"/>
      </rPr>
      <t>DB</t>
    </r>
    <r>
      <rPr>
        <sz val="10"/>
        <rFont val="Noto Sans CJK SC"/>
        <family val="2"/>
      </rPr>
      <t>）</t>
    </r>
  </si>
  <si>
    <t>T03,T04</t>
  </si>
  <si>
    <t>只讀 API 回真資料</t>
  </si>
  <si>
    <r>
      <rPr>
        <sz val="9"/>
        <rFont val="Noto Sans CJK SC"/>
        <family val="2"/>
      </rPr>
      <t xml:space="preserve">• ★ 環境：需 </t>
    </r>
    <r>
      <rPr>
        <sz val="9"/>
        <rFont val="Microsoft JhengHei"/>
        <family val="2"/>
        <charset val="136"/>
      </rPr>
      <t xml:space="preserve">db + </t>
    </r>
    <r>
      <rPr>
        <sz val="9"/>
        <rFont val="Noto Sans CJK SC"/>
        <family val="2"/>
      </rPr>
      <t>三張表</t>
    </r>
    <r>
      <rPr>
        <sz val="9"/>
        <rFont val="Microsoft JhengHei"/>
        <family val="2"/>
        <charset val="136"/>
      </rPr>
      <t xml:space="preserve">(T03) + </t>
    </r>
    <r>
      <rPr>
        <sz val="9"/>
        <rFont val="Noto Sans CJK SC"/>
        <family val="2"/>
      </rPr>
      <t>契約</t>
    </r>
    <r>
      <rPr>
        <sz val="9"/>
        <rFont val="Microsoft JhengHei"/>
        <family val="2"/>
        <charset val="136"/>
      </rPr>
      <t xml:space="preserve">(T04)
• 檔案：backend/app/api/{events,tickers}.py
• 做什麼：只讀端點查真實資料回 JSON
• 鐵律：分數已在管線算好存庫，API </t>
    </r>
    <r>
      <rPr>
        <sz val="9"/>
        <rFont val="Noto Sans CJK SC"/>
        <family val="2"/>
      </rPr>
      <t xml:space="preserve">不做運算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</si>
  <si>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T20</t>
  </si>
  <si>
    <t>第三週</t>
  </si>
  <si>
    <t>端到端串接（英雄場景：台積電法說）</t>
  </si>
  <si>
    <t>T12,T17,T19</t>
  </si>
  <si>
    <t>全程跑通一個事件</t>
  </si>
  <si>
    <t>• ★ 環境：db + 全部表 + 各模組就緒(T12/T17/T19)；全員本機連同一個 db
• 目標：台積電法說一個事件，從爬蟲跑到市場驗證分數、前端看得到
• 靠：每階段中間結果都在 Postgres，卡哪段就單獨重跑那段
• 統籌：Haoche 協調各人接口、處理 merge</t>
  </si>
  <si>
    <t>T21</t>
  </si>
  <si>
    <r>
      <rPr>
        <sz val="10"/>
        <rFont val="Microsoft JhengHei"/>
        <family val="2"/>
        <charset val="136"/>
      </rPr>
      <t xml:space="preserve">APScheduler </t>
    </r>
    <r>
      <rPr>
        <sz val="10"/>
        <rFont val="Noto Sans CJK SC"/>
        <family val="2"/>
      </rPr>
      <t xml:space="preserve">排程整合（管線每輪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每日批次）</t>
    </r>
  </si>
  <si>
    <t>Arku·Bright</t>
  </si>
  <si>
    <t>自動排程跑管線</t>
  </si>
  <si>
    <t>• ★ 環境：管線可手動跑通、db 就緒；worker 服務的 Dockerfile 由你(Arku)補
• 檔案：backend/app/core/scheduler.py（APScheduler）
• 做什麼：把爬蟲＋管線包成 worker 容器，用 APScheduler 排程
• 排程：新聞每10-15分一輪；FinMind 每日盤後（Bright 提供批次邏輯）
• 注意：程式內排程不用 Celery/Redis；worker 與 api 共用同一 image、只換啟動指令</t>
  </si>
  <si>
    <t>T22</t>
  </si>
  <si>
    <t>事件詳情頁 + 籌碼拆解 + 搜尋/時間線</t>
  </si>
  <si>
    <t>Jenny·MMJSUN</t>
  </si>
  <si>
    <t>T18,T19</t>
  </si>
  <si>
    <t>完整 4 畫面串真 API</t>
  </si>
  <si>
    <t>• ★ 環境：需 T18 首頁 + T19 真 API 已可回資料
• 做什麼：詳情頁（摘要+市場驗證分數+籌碼拆解）、搜尋、時間線
• 規則：分數旁固定放「非預測」；禁買賣建議/技術線</t>
  </si>
  <si>
    <t>T23</t>
  </si>
  <si>
    <t>驗證</t>
  </si>
  <si>
    <t>去重 F1 / 分類準確率 驗證</t>
  </si>
  <si>
    <t>Timyo·MMJSUN</t>
  </si>
  <si>
    <t>T12,T14</t>
  </si>
  <si>
    <r>
      <rPr>
        <sz val="10"/>
        <rFont val="Microsoft JhengHei"/>
        <family val="2"/>
        <charset val="136"/>
      </rPr>
      <t xml:space="preserve">F1 / micro-F1 </t>
    </r>
    <r>
      <rPr>
        <sz val="10"/>
        <rFont val="Noto Sans CJK SC"/>
        <family val="2"/>
      </rPr>
      <t>報告</t>
    </r>
  </si>
  <si>
    <t>• 環境：需 T12 去重、T14 分類產出可跑
• 前置：人工標 golden set
• 算：去重 Precision/Recall/F1、分類 micro-F1
• 目標：分類準確率 ≥ 85%</t>
  </si>
  <si>
    <t>T24</t>
  </si>
  <si>
    <t>評分行為合理性驗證（跨天平滑/分歧閘門）</t>
  </si>
  <si>
    <t>驗證報告</t>
  </si>
  <si>
    <t>• 環境：需 T17 分數已能算
• 檢查：同事件跨天分數是否平滑、分歧閘門能否抓到已知背離
• 做：權重敏感度分析
• 交付：驗證結果交 Haoche 一起看</t>
  </si>
  <si>
    <t>T25</t>
  </si>
  <si>
    <t>全套 Docker Compose up 整合測試</t>
  </si>
  <si>
    <t>Nash·Arku·Haoche</t>
  </si>
  <si>
    <t>T20,T21</t>
  </si>
  <si>
    <t>一行 up 全套跑起來</t>
  </si>
  <si>
    <t>• ★ 環境：T20/T21 完成；把 api、worker 的 Dockerfile 補上
• 目標：一行 docker compose up 起 db+api+worker 全套
• 檢查：.env 齊、volume 對、depends_on 相依順序對</t>
  </si>
  <si>
    <t>T26</t>
  </si>
  <si>
    <t>收尾</t>
  </si>
  <si>
    <r>
      <rPr>
        <sz val="10"/>
        <rFont val="Microsoft JhengHei"/>
        <family val="2"/>
        <charset val="136"/>
      </rPr>
      <t xml:space="preserve">Demo </t>
    </r>
    <r>
      <rPr>
        <sz val="10"/>
        <rFont val="Noto Sans CJK SC"/>
        <family val="2"/>
      </rPr>
      <t xml:space="preserve">準備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文件整理</t>
    </r>
  </si>
  <si>
    <t>T22,T25</t>
  </si>
  <si>
    <r>
      <rPr>
        <sz val="10"/>
        <rFont val="Microsoft JhengHei"/>
        <family val="2"/>
        <charset val="136"/>
      </rPr>
      <t xml:space="preserve">Demo </t>
    </r>
    <r>
      <rPr>
        <sz val="10"/>
        <rFont val="Noto Sans CJK SC"/>
        <family val="2"/>
      </rPr>
      <t xml:space="preserve">流程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文件</t>
    </r>
  </si>
  <si>
    <t>• 環境：T22/T25 完成
• 準備：Demo 腳本、跑一次英雄場景、整理 README/文件
• 講點：強調『做決策輔助、不給買賣建議』；秀可拆解證據</t>
  </si>
  <si>
    <t>T27</t>
  </si>
  <si>
    <t>緩衝 / Bug 修復</t>
  </si>
  <si>
    <t>• 用途：吸收前面延遲、修 demo 前發現的 bug
• 界線：只修 bug，不加新功能</t>
  </si>
  <si>
    <t>甘特圖（D1–D15）</t>
  </si>
  <si>
    <t>任務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</si>
  <si>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</si>
  <si>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</si>
  <si>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</si>
  <si>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</si>
  <si>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</si>
  <si>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</si>
  <si>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</si>
  <si>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</si>
  <si>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</si>
  <si>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</si>
  <si>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</si>
  <si>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</si>
  <si>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</si>
  <si>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</si>
  <si>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</si>
  <si>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r>
      <rPr>
        <sz val="9"/>
        <rFont val="Microsoft JhengHei"/>
        <family val="2"/>
        <charset val="136"/>
      </rPr>
      <t xml:space="preserve">Git </t>
    </r>
    <r>
      <rPr>
        <sz val="9"/>
        <rFont val="Noto Sans CJK SC"/>
        <family val="2"/>
      </rPr>
      <t xml:space="preserve">進度整合 </t>
    </r>
    <r>
      <rPr>
        <sz val="9"/>
        <rFont val="Microsoft JhengHei"/>
        <family val="2"/>
        <charset val="136"/>
      </rPr>
      <t xml:space="preserve">· </t>
    </r>
    <r>
      <rPr>
        <sz val="9"/>
        <rFont val="Noto Sans CJK SC"/>
        <family val="2"/>
      </rPr>
      <t xml:space="preserve">架構與技術細節掌握 </t>
    </r>
    <r>
      <rPr>
        <sz val="9"/>
        <rFont val="Microsoft JhengHei"/>
        <family val="2"/>
        <charset val="136"/>
      </rPr>
      <t xml:space="preserve">· </t>
    </r>
    <r>
      <rPr>
        <sz val="9"/>
        <rFont val="Noto Sans CJK SC"/>
        <family val="2"/>
      </rPr>
      <t>必要支援</t>
    </r>
  </si>
  <si>
    <r>
      <rPr>
        <sz val="9"/>
        <rFont val="Microsoft JhengHei"/>
        <family val="2"/>
        <charset val="136"/>
      </rPr>
      <t xml:space="preserve">PostgreSQL + pgvector </t>
    </r>
    <r>
      <rPr>
        <sz val="9"/>
        <rFont val="Noto Sans CJK SC"/>
        <family val="2"/>
      </rPr>
      <t xml:space="preserve">建置 </t>
    </r>
    <r>
      <rPr>
        <sz val="9"/>
        <rFont val="Microsoft JhengHei"/>
        <family val="2"/>
        <charset val="136"/>
      </rPr>
      <t>+ init.sql</t>
    </r>
  </si>
  <si>
    <r>
      <rPr>
        <sz val="9"/>
        <rFont val="Microsoft JhengHei"/>
        <family val="2"/>
        <charset val="136"/>
      </rPr>
      <t xml:space="preserve">API </t>
    </r>
    <r>
      <rPr>
        <sz val="9"/>
        <rFont val="Noto Sans CJK SC"/>
        <family val="2"/>
      </rPr>
      <t>契約定稿（</t>
    </r>
    <r>
      <rPr>
        <sz val="9"/>
        <rFont val="Microsoft JhengHei"/>
        <family val="2"/>
        <charset val="136"/>
      </rPr>
      <t xml:space="preserve">schemas + </t>
    </r>
    <r>
      <rPr>
        <sz val="9"/>
        <rFont val="Noto Sans CJK SC"/>
        <family val="2"/>
      </rPr>
      <t>端點）</t>
    </r>
  </si>
  <si>
    <r>
      <rPr>
        <sz val="9"/>
        <rFont val="Microsoft JhengHei"/>
        <family val="2"/>
        <charset val="136"/>
      </rPr>
      <t xml:space="preserve">Embedding </t>
    </r>
    <r>
      <rPr>
        <sz val="9"/>
        <rFont val="Noto Sans CJK SC"/>
        <family val="2"/>
      </rPr>
      <t>技術實驗（凍結樣本，全員玩）</t>
    </r>
  </si>
  <si>
    <r>
      <rPr>
        <sz val="9"/>
        <rFont val="Microsoft JhengHei"/>
        <family val="2"/>
        <charset val="136"/>
      </rPr>
      <t xml:space="preserve">FinMind </t>
    </r>
    <r>
      <rPr>
        <sz val="9"/>
        <rFont val="Noto Sans CJK SC"/>
        <family val="2"/>
      </rPr>
      <t xml:space="preserve">資料源研究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認證測試</t>
    </r>
  </si>
  <si>
    <r>
      <rPr>
        <sz val="9"/>
        <rFont val="Microsoft JhengHei"/>
        <family val="2"/>
        <charset val="136"/>
      </rPr>
      <t xml:space="preserve">Embedding </t>
    </r>
    <r>
      <rPr>
        <sz val="9"/>
        <rFont val="Noto Sans CJK SC"/>
        <family val="2"/>
      </rPr>
      <t xml:space="preserve">心得整合 </t>
    </r>
    <r>
      <rPr>
        <sz val="9"/>
        <rFont val="Microsoft JhengHei"/>
        <family val="2"/>
        <charset val="136"/>
      </rPr>
      <t xml:space="preserve">+ BGE-M3 </t>
    </r>
    <r>
      <rPr>
        <sz val="9"/>
        <rFont val="Noto Sans CJK SC"/>
        <family val="2"/>
      </rPr>
      <t>定案</t>
    </r>
  </si>
  <si>
    <r>
      <rPr>
        <sz val="9"/>
        <rFont val="Microsoft JhengHei"/>
        <family val="2"/>
        <charset val="136"/>
      </rPr>
      <t xml:space="preserve">Prompt </t>
    </r>
    <r>
      <rPr>
        <sz val="9"/>
        <rFont val="Noto Sans CJK SC"/>
        <family val="2"/>
      </rPr>
      <t xml:space="preserve">設計（摘要 </t>
    </r>
    <r>
      <rPr>
        <sz val="9"/>
        <rFont val="Microsoft JhengHei"/>
        <family val="2"/>
        <charset val="136"/>
      </rPr>
      <t>+ 9</t>
    </r>
    <r>
      <rPr>
        <sz val="9"/>
        <rFont val="Noto Sans CJK SC"/>
        <family val="2"/>
      </rPr>
      <t xml:space="preserve">類分類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方向，同一次）</t>
    </r>
  </si>
  <si>
    <r>
      <rPr>
        <b/>
        <sz val="8"/>
        <color rgb="FFFFFFFF"/>
        <rFont val="Microsoft JhengHei"/>
        <family val="2"/>
        <charset val="136"/>
      </rPr>
      <t xml:space="preserve">LLM </t>
    </r>
    <r>
      <rPr>
        <b/>
        <sz val="8"/>
        <color rgb="FFFFFFFF"/>
        <rFont val="Noto Sans CJK SC"/>
        <family val="2"/>
      </rPr>
      <t>摘要</t>
    </r>
    <r>
      <rPr>
        <b/>
        <sz val="8"/>
        <color rgb="FFFFFFFF"/>
        <rFont val="Microsoft JhengHei"/>
        <family val="2"/>
        <charset val="136"/>
      </rPr>
      <t>/</t>
    </r>
    <r>
      <rPr>
        <b/>
        <sz val="8"/>
        <color rgb="FFFFFFFF"/>
        <rFont val="Noto Sans CJK SC"/>
        <family val="2"/>
      </rPr>
      <t>分類</t>
    </r>
  </si>
  <si>
    <r>
      <rPr>
        <sz val="9"/>
        <rFont val="Microsoft JhengHei"/>
        <family val="2"/>
        <charset val="136"/>
      </rPr>
      <t xml:space="preserve">LLM </t>
    </r>
    <r>
      <rPr>
        <sz val="9"/>
        <rFont val="Noto Sans CJK SC"/>
        <family val="2"/>
      </rPr>
      <t xml:space="preserve">選型 </t>
    </r>
    <r>
      <rPr>
        <sz val="9"/>
        <rFont val="Microsoft JhengHei"/>
        <family val="2"/>
        <charset val="136"/>
      </rPr>
      <t xml:space="preserve">+ Structured Output </t>
    </r>
    <r>
      <rPr>
        <sz val="9"/>
        <rFont val="Noto Sans CJK SC"/>
        <family val="2"/>
      </rPr>
      <t>整合</t>
    </r>
  </si>
  <si>
    <t>Bright·MMJSUN</t>
  </si>
  <si>
    <r>
      <rPr>
        <sz val="9"/>
        <rFont val="Microsoft JhengHei"/>
        <family val="2"/>
        <charset val="136"/>
      </rPr>
      <t xml:space="preserve">FinMind </t>
    </r>
    <r>
      <rPr>
        <sz val="9"/>
        <rFont val="Noto Sans CJK SC"/>
        <family val="2"/>
      </rPr>
      <t xml:space="preserve">每日批次 </t>
    </r>
    <r>
      <rPr>
        <sz val="9"/>
        <rFont val="Microsoft JhengHei"/>
        <family val="2"/>
        <charset val="136"/>
      </rPr>
      <t xml:space="preserve">+ ChipData </t>
    </r>
    <r>
      <rPr>
        <sz val="9"/>
        <rFont val="Noto Sans CJK SC"/>
        <family val="2"/>
      </rPr>
      <t>衍生欄位</t>
    </r>
  </si>
  <si>
    <r>
      <rPr>
        <sz val="9"/>
        <rFont val="Microsoft JhengHei"/>
        <family val="2"/>
        <charset val="136"/>
      </rPr>
      <t xml:space="preserve">FastAPI </t>
    </r>
    <r>
      <rPr>
        <sz val="9"/>
        <rFont val="Noto Sans CJK SC"/>
        <family val="2"/>
      </rPr>
      <t xml:space="preserve">端點實作（讀 </t>
    </r>
    <r>
      <rPr>
        <sz val="9"/>
        <rFont val="Microsoft JhengHei"/>
        <family val="2"/>
        <charset val="136"/>
      </rPr>
      <t>DB</t>
    </r>
    <r>
      <rPr>
        <sz val="9"/>
        <rFont val="Noto Sans CJK SC"/>
        <family val="2"/>
      </rPr>
      <t>）</t>
    </r>
  </si>
  <si>
    <t>Nash·Arku·Timyo·MMJSUN·Bright·Haoche</t>
  </si>
  <si>
    <r>
      <rPr>
        <sz val="9"/>
        <rFont val="Microsoft JhengHei"/>
        <family val="2"/>
        <charset val="136"/>
      </rPr>
      <t xml:space="preserve">APScheduler </t>
    </r>
    <r>
      <rPr>
        <sz val="9"/>
        <rFont val="Noto Sans CJK SC"/>
        <family val="2"/>
      </rPr>
      <t xml:space="preserve">排程整合（管線每輪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每日批次）</t>
    </r>
  </si>
  <si>
    <r>
      <rPr>
        <sz val="9"/>
        <rFont val="Microsoft JhengHei"/>
        <family val="2"/>
        <charset val="136"/>
      </rPr>
      <t xml:space="preserve">Demo </t>
    </r>
    <r>
      <rPr>
        <sz val="9"/>
        <rFont val="Noto Sans CJK SC"/>
        <family val="2"/>
      </rPr>
      <t xml:space="preserve">準備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文件整理</t>
    </r>
  </si>
  <si>
    <t>人力配置（成員）</t>
  </si>
  <si>
    <t>成員</t>
  </si>
  <si>
    <t>建議主責</t>
  </si>
  <si>
    <t>參與任務數</t>
  </si>
  <si>
    <t>負責任務</t>
  </si>
  <si>
    <t>Nash</t>
  </si>
  <si>
    <t>後端 · 基礎設施（Docker / DB / API 實作）</t>
  </si>
  <si>
    <r>
      <rPr>
        <sz val="9"/>
        <rFont val="Microsoft JhengHei"/>
        <family val="2"/>
        <charset val="136"/>
      </rPr>
      <t>T01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</si>
  <si>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資料來源 / 爬蟲 · 排程(APScheduler) 與 worker 容器</t>
  </si>
  <si>
    <r>
      <rPr>
        <sz val="9"/>
        <rFont val="Microsoft JhengHei"/>
        <family val="2"/>
        <charset val="136"/>
      </rPr>
      <t>T05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</si>
  <si>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向量化 / 去重聚類</t>
  </si>
  <si>
    <r>
      <rPr>
        <sz val="9"/>
        <rFont val="Microsoft JhengHei"/>
        <family val="2"/>
        <charset val="136"/>
      </rPr>
      <t>T01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</si>
  <si>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r>
      <rPr>
        <sz val="10"/>
        <rFont val="Microsoft JhengHei"/>
        <family val="2"/>
        <charset val="136"/>
      </rPr>
      <t xml:space="preserve">LLM </t>
    </r>
    <r>
      <rPr>
        <sz val="10"/>
        <rFont val="Noto Sans CJK SC"/>
        <family val="2"/>
      </rPr>
      <t xml:space="preserve">摘要 </t>
    </r>
    <r>
      <rPr>
        <sz val="10"/>
        <rFont val="Microsoft JhengHei"/>
        <family val="2"/>
        <charset val="136"/>
      </rPr>
      <t xml:space="preserve">/ </t>
    </r>
    <r>
      <rPr>
        <sz val="10"/>
        <rFont val="Noto Sans CJK SC"/>
        <family val="2"/>
      </rPr>
      <t xml:space="preserve">分類 </t>
    </r>
    <r>
      <rPr>
        <sz val="10"/>
        <rFont val="Microsoft JhengHei"/>
        <family val="2"/>
        <charset val="136"/>
      </rPr>
      <t xml:space="preserve">/ </t>
    </r>
    <r>
      <rPr>
        <sz val="10"/>
        <rFont val="Noto Sans CJK SC"/>
        <family val="2"/>
      </rPr>
      <t>方向</t>
    </r>
  </si>
  <si>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</si>
  <si>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評分 / 市場驗證（FinMind 籌碼）</t>
  </si>
  <si>
    <r>
      <rPr>
        <sz val="9"/>
        <rFont val="Microsoft JhengHei"/>
        <family val="2"/>
        <charset val="136"/>
      </rPr>
      <t>T03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</si>
  <si>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前端 / UX</t>
  </si>
  <si>
    <r>
      <rPr>
        <sz val="9"/>
        <rFont val="Microsoft JhengHei"/>
        <family val="2"/>
        <charset val="136"/>
      </rPr>
      <t>T04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T08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T18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</si>
  <si>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r>
      <rPr>
        <sz val="9"/>
        <rFont val="Microsoft JhengHei"/>
        <family val="2"/>
        <charset val="136"/>
      </rPr>
      <t>T00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</si>
  <si>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r>
      <rPr>
        <b/>
        <sz val="14"/>
        <color rgb="FFFFFFFF"/>
        <rFont val="Microsoft JhengHei"/>
        <family val="2"/>
        <charset val="136"/>
      </rPr>
      <t xml:space="preserve">EventSignal MVP · </t>
    </r>
    <r>
      <rPr>
        <b/>
        <sz val="14"/>
        <color rgb="FFFFFFFF"/>
        <rFont val="Noto Sans CJK SC"/>
        <family val="2"/>
      </rPr>
      <t>三週工作分配 — 設計原則（</t>
    </r>
    <r>
      <rPr>
        <b/>
        <sz val="14"/>
        <color rgb="FFFFFFFF"/>
        <rFont val="Microsoft JhengHei"/>
        <family val="2"/>
        <charset val="136"/>
      </rPr>
      <t xml:space="preserve">7 </t>
    </r>
    <r>
      <rPr>
        <b/>
        <sz val="14"/>
        <color rgb="FFFFFFFF"/>
        <rFont val="Noto Sans CJK SC"/>
        <family val="2"/>
      </rPr>
      <t>人）</t>
    </r>
  </si>
  <si>
    <r>
      <rPr>
        <sz val="11"/>
        <color rgb="FF000000"/>
        <rFont val="Microsoft JhengHei"/>
        <family val="2"/>
        <charset val="136"/>
      </rPr>
      <t xml:space="preserve">1. Haoche = </t>
    </r>
    <r>
      <rPr>
        <sz val="11"/>
        <color rgb="FF000000"/>
        <rFont val="Noto Sans CJK SC"/>
        <family val="2"/>
      </rPr>
      <t>統籌角色：</t>
    </r>
    <r>
      <rPr>
        <sz val="11"/>
        <color rgb="FF000000"/>
        <rFont val="Microsoft JhengHei"/>
        <family val="2"/>
        <charset val="136"/>
      </rPr>
      <t>Git merge</t>
    </r>
    <r>
      <rPr>
        <sz val="11"/>
        <color rgb="FF000000"/>
        <rFont val="Noto Sans CJK SC"/>
        <family val="2"/>
      </rPr>
      <t xml:space="preserve">、進度追蹤、架構與技術細節掌握、必要時支援。原 </t>
    </r>
    <r>
      <rPr>
        <sz val="11"/>
        <color rgb="FF000000"/>
        <rFont val="Microsoft JhengHei"/>
        <family val="2"/>
        <charset val="136"/>
      </rPr>
      <t xml:space="preserve">Nash </t>
    </r>
    <r>
      <rPr>
        <sz val="11"/>
        <color rgb="FF000000"/>
        <rFont val="Noto Sans CJK SC"/>
        <family val="2"/>
      </rPr>
      <t xml:space="preserve">的『整合統籌』職責移交 </t>
    </r>
    <r>
      <rPr>
        <sz val="11"/>
        <color rgb="FF000000"/>
        <rFont val="Microsoft JhengHei"/>
        <family val="2"/>
        <charset val="136"/>
      </rPr>
      <t>Haoche</t>
    </r>
    <r>
      <rPr>
        <sz val="11"/>
        <color rgb="FF000000"/>
        <rFont val="Noto Sans CJK SC"/>
        <family val="2"/>
      </rPr>
      <t>，</t>
    </r>
    <r>
      <rPr>
        <sz val="11"/>
        <color rgb="FF000000"/>
        <rFont val="Microsoft JhengHei"/>
        <family val="2"/>
        <charset val="136"/>
      </rPr>
      <t xml:space="preserve">Nash </t>
    </r>
    <r>
      <rPr>
        <sz val="11"/>
        <color rgb="FF000000"/>
        <rFont val="Noto Sans CJK SC"/>
        <family val="2"/>
      </rPr>
      <t>專注後端</t>
    </r>
    <r>
      <rPr>
        <sz val="11"/>
        <color rgb="FF000000"/>
        <rFont val="Microsoft JhengHei"/>
        <family val="2"/>
        <charset val="136"/>
      </rPr>
      <t>/</t>
    </r>
    <r>
      <rPr>
        <sz val="11"/>
        <color rgb="FF000000"/>
        <rFont val="Noto Sans CJK SC"/>
        <family val="2"/>
      </rPr>
      <t>基礎設施實作。</t>
    </r>
  </si>
  <si>
    <r>
      <rPr>
        <sz val="11"/>
        <color rgb="FF000000"/>
        <rFont val="Microsoft JhengHei"/>
        <family val="2"/>
        <charset val="136"/>
      </rPr>
      <t xml:space="preserve">2. </t>
    </r>
    <r>
      <rPr>
        <sz val="11"/>
        <color rgb="FF000000"/>
        <rFont val="Noto Sans CJK SC"/>
        <family val="2"/>
      </rPr>
      <t xml:space="preserve">與 </t>
    </r>
    <r>
      <rPr>
        <sz val="11"/>
        <color rgb="FF000000"/>
        <rFont val="Microsoft JhengHei"/>
        <family val="2"/>
        <charset val="136"/>
      </rPr>
      <t xml:space="preserve">Haoche </t>
    </r>
    <r>
      <rPr>
        <sz val="11"/>
        <color rgb="FF000000"/>
        <rFont val="Noto Sans CJK SC"/>
        <family val="2"/>
      </rPr>
      <t>重疊的協調工作已從他人移除：</t>
    </r>
    <r>
      <rPr>
        <sz val="11"/>
        <color rgb="FF000000"/>
        <rFont val="Microsoft JhengHei"/>
        <family val="2"/>
        <charset val="136"/>
      </rPr>
      <t xml:space="preserve">T24 </t>
    </r>
    <r>
      <rPr>
        <sz val="11"/>
        <color rgb="FF000000"/>
        <rFont val="Noto Sans CJK SC"/>
        <family val="2"/>
      </rPr>
      <t xml:space="preserve">只留 </t>
    </r>
    <r>
      <rPr>
        <sz val="11"/>
        <color rgb="FF000000"/>
        <rFont val="Microsoft JhengHei"/>
        <family val="2"/>
        <charset val="136"/>
      </rPr>
      <t>Bright</t>
    </r>
    <r>
      <rPr>
        <sz val="11"/>
        <color rgb="FF000000"/>
        <rFont val="Noto Sans CJK SC"/>
        <family val="2"/>
      </rPr>
      <t>；</t>
    </r>
    <r>
      <rPr>
        <sz val="11"/>
        <color rgb="FF000000"/>
        <rFont val="Microsoft JhengHei"/>
        <family val="2"/>
        <charset val="136"/>
      </rPr>
      <t xml:space="preserve">Nash </t>
    </r>
    <r>
      <rPr>
        <sz val="11"/>
        <color rgb="FF000000"/>
        <rFont val="Noto Sans CJK SC"/>
        <family val="2"/>
      </rPr>
      <t>不再掛『統籌』。</t>
    </r>
    <r>
      <rPr>
        <sz val="11"/>
        <color rgb="FF000000"/>
        <rFont val="Microsoft JhengHei"/>
        <family val="2"/>
        <charset val="136"/>
      </rPr>
      <t xml:space="preserve">Haoche </t>
    </r>
    <r>
      <rPr>
        <sz val="11"/>
        <color rgb="FF000000"/>
        <rFont val="Noto Sans CJK SC"/>
        <family val="2"/>
      </rPr>
      <t>進駐跨模組</t>
    </r>
    <r>
      <rPr>
        <sz val="11"/>
        <color rgb="FF000000"/>
        <rFont val="Microsoft JhengHei"/>
        <family val="2"/>
        <charset val="136"/>
      </rPr>
      <t>/</t>
    </r>
    <r>
      <rPr>
        <sz val="11"/>
        <color rgb="FF000000"/>
        <rFont val="Noto Sans CJK SC"/>
        <family val="2"/>
      </rPr>
      <t>架構節點：</t>
    </r>
    <r>
      <rPr>
        <sz val="11"/>
        <color rgb="FF000000"/>
        <rFont val="Microsoft JhengHei"/>
        <family val="2"/>
        <charset val="136"/>
      </rPr>
      <t xml:space="preserve">API </t>
    </r>
    <r>
      <rPr>
        <sz val="11"/>
        <color rgb="FF000000"/>
        <rFont val="Noto Sans CJK SC"/>
        <family val="2"/>
      </rPr>
      <t>契約</t>
    </r>
    <r>
      <rPr>
        <sz val="11"/>
        <color rgb="FF000000"/>
        <rFont val="Microsoft JhengHei"/>
        <family val="2"/>
        <charset val="136"/>
      </rPr>
      <t>(T04)</t>
    </r>
    <r>
      <rPr>
        <sz val="11"/>
        <color rgb="FF000000"/>
        <rFont val="Noto Sans CJK SC"/>
        <family val="2"/>
      </rPr>
      <t>、端到端串接</t>
    </r>
    <r>
      <rPr>
        <sz val="11"/>
        <color rgb="FF000000"/>
        <rFont val="Microsoft JhengHei"/>
        <family val="2"/>
        <charset val="136"/>
      </rPr>
      <t>(T20)</t>
    </r>
    <r>
      <rPr>
        <sz val="11"/>
        <color rgb="FF000000"/>
        <rFont val="Noto Sans CJK SC"/>
        <family val="2"/>
      </rPr>
      <t>、整合測試</t>
    </r>
    <r>
      <rPr>
        <sz val="11"/>
        <color rgb="FF000000"/>
        <rFont val="Microsoft JhengHei"/>
        <family val="2"/>
        <charset val="136"/>
      </rPr>
      <t>(T25)</t>
    </r>
    <r>
      <rPr>
        <sz val="11"/>
        <color rgb="FF000000"/>
        <rFont val="Noto Sans CJK SC"/>
        <family val="2"/>
      </rPr>
      <t>、</t>
    </r>
    <r>
      <rPr>
        <sz val="11"/>
        <color rgb="FF000000"/>
        <rFont val="Microsoft JhengHei"/>
        <family val="2"/>
        <charset val="136"/>
      </rPr>
      <t>Demo/</t>
    </r>
    <r>
      <rPr>
        <sz val="11"/>
        <color rgb="FF000000"/>
        <rFont val="Noto Sans CJK SC"/>
        <family val="2"/>
      </rPr>
      <t>文件</t>
    </r>
    <r>
      <rPr>
        <sz val="11"/>
        <color rgb="FF000000"/>
        <rFont val="Microsoft JhengHei"/>
        <family val="2"/>
        <charset val="136"/>
      </rPr>
      <t>(T26)</t>
    </r>
    <r>
      <rPr>
        <sz val="11"/>
        <color rgb="FF000000"/>
        <rFont val="Noto Sans CJK SC"/>
        <family val="2"/>
      </rPr>
      <t>、跨全程進度</t>
    </r>
    <r>
      <rPr>
        <sz val="11"/>
        <color rgb="FF000000"/>
        <rFont val="Microsoft JhengHei"/>
        <family val="2"/>
        <charset val="136"/>
      </rPr>
      <t>(T00)</t>
    </r>
    <r>
      <rPr>
        <sz val="11"/>
        <color rgb="FF000000"/>
        <rFont val="Noto Sans CJK SC"/>
        <family val="2"/>
      </rPr>
      <t>。</t>
    </r>
  </si>
  <si>
    <r>
      <rPr>
        <sz val="11"/>
        <color rgb="FF000000"/>
        <rFont val="Microsoft JhengHei"/>
        <family val="2"/>
        <charset val="136"/>
      </rPr>
      <t xml:space="preserve">3. </t>
    </r>
    <r>
      <rPr>
        <sz val="11"/>
        <color rgb="FF000000"/>
        <rFont val="Noto Sans CJK SC"/>
        <family val="2"/>
      </rPr>
      <t>分配依系統架構切模組，非單純前後端。資料由下往上：來源→處理→儲存→</t>
    </r>
    <r>
      <rPr>
        <sz val="11"/>
        <color rgb="FF000000"/>
        <rFont val="Microsoft JhengHei"/>
        <family val="2"/>
        <charset val="136"/>
      </rPr>
      <t>API→</t>
    </r>
    <r>
      <rPr>
        <sz val="11"/>
        <color rgb="FF000000"/>
        <rFont val="Noto Sans CJK SC"/>
        <family val="2"/>
      </rPr>
      <t>前端。</t>
    </r>
  </si>
  <si>
    <r>
      <rPr>
        <sz val="11"/>
        <color rgb="FF000000"/>
        <rFont val="Microsoft JhengHei"/>
        <family val="2"/>
        <charset val="136"/>
      </rPr>
      <t xml:space="preserve">4. </t>
    </r>
    <r>
      <rPr>
        <sz val="11"/>
        <color rgb="FF000000"/>
        <rFont val="Noto Sans CJK SC"/>
        <family val="2"/>
      </rPr>
      <t xml:space="preserve">高優先任務配置 </t>
    </r>
    <r>
      <rPr>
        <sz val="11"/>
        <color rgb="FF000000"/>
        <rFont val="Microsoft JhengHei"/>
        <family val="2"/>
        <charset val="136"/>
      </rPr>
      <t xml:space="preserve">2–3 </t>
    </r>
    <r>
      <rPr>
        <sz val="11"/>
        <color rgb="FF000000"/>
        <rFont val="Noto Sans CJK SC"/>
        <family val="2"/>
      </rPr>
      <t>人：地基</t>
    </r>
    <r>
      <rPr>
        <sz val="11"/>
        <color rgb="FF000000"/>
        <rFont val="Microsoft JhengHei"/>
        <family val="2"/>
        <charset val="136"/>
      </rPr>
      <t>(T01-04)</t>
    </r>
    <r>
      <rPr>
        <sz val="11"/>
        <color rgb="FF000000"/>
        <rFont val="Noto Sans CJK SC"/>
        <family val="2"/>
      </rPr>
      <t>、</t>
    </r>
    <r>
      <rPr>
        <sz val="11"/>
        <color rgb="FF000000"/>
        <rFont val="Microsoft JhengHei"/>
        <family val="2"/>
        <charset val="136"/>
      </rPr>
      <t xml:space="preserve">Embedding </t>
    </r>
    <r>
      <rPr>
        <sz val="11"/>
        <color rgb="FF000000"/>
        <rFont val="Noto Sans CJK SC"/>
        <family val="2"/>
      </rPr>
      <t>實驗</t>
    </r>
    <r>
      <rPr>
        <sz val="11"/>
        <color rgb="FF000000"/>
        <rFont val="Microsoft JhengHei"/>
        <family val="2"/>
        <charset val="136"/>
      </rPr>
      <t xml:space="preserve">(T07 </t>
    </r>
    <r>
      <rPr>
        <sz val="11"/>
        <color rgb="FF000000"/>
        <rFont val="Noto Sans CJK SC"/>
        <family val="2"/>
      </rPr>
      <t>全員</t>
    </r>
    <r>
      <rPr>
        <sz val="11"/>
        <color rgb="FF000000"/>
        <rFont val="Microsoft JhengHei"/>
        <family val="2"/>
        <charset val="136"/>
      </rPr>
      <t>)</t>
    </r>
    <r>
      <rPr>
        <sz val="11"/>
        <color rgb="FF000000"/>
        <rFont val="Noto Sans CJK SC"/>
        <family val="2"/>
      </rPr>
      <t>、市場驗證</t>
    </r>
    <r>
      <rPr>
        <sz val="11"/>
        <color rgb="FF000000"/>
        <rFont val="Microsoft JhengHei"/>
        <family val="2"/>
        <charset val="136"/>
      </rPr>
      <t xml:space="preserve">(T17 </t>
    </r>
    <r>
      <rPr>
        <sz val="11"/>
        <color rgb="FF000000"/>
        <rFont val="Noto Sans CJK SC"/>
        <family val="2"/>
      </rPr>
      <t>三人</t>
    </r>
    <r>
      <rPr>
        <sz val="11"/>
        <color rgb="FF000000"/>
        <rFont val="Microsoft JhengHei"/>
        <family val="2"/>
        <charset val="136"/>
      </rPr>
      <t>)</t>
    </r>
    <r>
      <rPr>
        <sz val="11"/>
        <color rgb="FF000000"/>
        <rFont val="Noto Sans CJK SC"/>
        <family val="2"/>
      </rPr>
      <t>、端到端串接</t>
    </r>
    <r>
      <rPr>
        <sz val="11"/>
        <color rgb="FF000000"/>
        <rFont val="Microsoft JhengHei"/>
        <family val="2"/>
        <charset val="136"/>
      </rPr>
      <t>(T20)</t>
    </r>
    <r>
      <rPr>
        <sz val="11"/>
        <color rgb="FF000000"/>
        <rFont val="Noto Sans CJK SC"/>
        <family val="2"/>
      </rPr>
      <t>、收尾</t>
    </r>
    <r>
      <rPr>
        <sz val="11"/>
        <color rgb="FF000000"/>
        <rFont val="Microsoft JhengHei"/>
        <family val="2"/>
        <charset val="136"/>
      </rPr>
      <t xml:space="preserve">(T26 </t>
    </r>
    <r>
      <rPr>
        <sz val="11"/>
        <color rgb="FF000000"/>
        <rFont val="Noto Sans CJK SC"/>
        <family val="2"/>
      </rPr>
      <t>全員</t>
    </r>
    <r>
      <rPr>
        <sz val="11"/>
        <color rgb="FF000000"/>
        <rFont val="Microsoft JhengHei"/>
        <family val="2"/>
        <charset val="136"/>
      </rPr>
      <t>)</t>
    </r>
    <r>
      <rPr>
        <sz val="11"/>
        <color rgb="FF000000"/>
        <rFont val="Noto Sans CJK SC"/>
        <family val="2"/>
      </rPr>
      <t>。</t>
    </r>
  </si>
  <si>
    <r>
      <rPr>
        <sz val="11"/>
        <color rgb="FF000000"/>
        <rFont val="Microsoft JhengHei"/>
        <family val="2"/>
        <charset val="136"/>
      </rPr>
      <t xml:space="preserve">5. </t>
    </r>
    <r>
      <rPr>
        <sz val="11"/>
        <color rgb="FF000000"/>
        <rFont val="Noto Sans CJK SC"/>
        <family val="2"/>
      </rPr>
      <t>先地基後模組再整合：</t>
    </r>
    <r>
      <rPr>
        <sz val="11"/>
        <color rgb="FF000000"/>
        <rFont val="Microsoft JhengHei"/>
        <family val="2"/>
        <charset val="136"/>
      </rPr>
      <t xml:space="preserve">W1 </t>
    </r>
    <r>
      <rPr>
        <sz val="11"/>
        <color rgb="FF000000"/>
        <rFont val="Noto Sans CJK SC"/>
        <family val="2"/>
      </rPr>
      <t>打通環境</t>
    </r>
    <r>
      <rPr>
        <sz val="11"/>
        <color rgb="FF000000"/>
        <rFont val="Microsoft JhengHei"/>
        <family val="2"/>
        <charset val="136"/>
      </rPr>
      <t>/</t>
    </r>
    <r>
      <rPr>
        <sz val="11"/>
        <color rgb="FF000000"/>
        <rFont val="Noto Sans CJK SC"/>
        <family val="2"/>
      </rPr>
      <t xml:space="preserve">資料流並全員玩 </t>
    </r>
    <r>
      <rPr>
        <sz val="11"/>
        <color rgb="FF000000"/>
        <rFont val="Microsoft JhengHei"/>
        <family val="2"/>
        <charset val="136"/>
      </rPr>
      <t>Embedding</t>
    </r>
    <r>
      <rPr>
        <sz val="11"/>
        <color rgb="FF000000"/>
        <rFont val="Noto Sans CJK SC"/>
        <family val="2"/>
      </rPr>
      <t>；</t>
    </r>
    <r>
      <rPr>
        <sz val="11"/>
        <color rgb="FF000000"/>
        <rFont val="Microsoft JhengHei"/>
        <family val="2"/>
        <charset val="136"/>
      </rPr>
      <t xml:space="preserve">W2 </t>
    </r>
    <r>
      <rPr>
        <sz val="11"/>
        <color rgb="FF000000"/>
        <rFont val="Noto Sans CJK SC"/>
        <family val="2"/>
      </rPr>
      <t>核心模組並行；</t>
    </r>
    <r>
      <rPr>
        <sz val="11"/>
        <color rgb="FF000000"/>
        <rFont val="Microsoft JhengHei"/>
        <family val="2"/>
        <charset val="136"/>
      </rPr>
      <t xml:space="preserve">W3 </t>
    </r>
    <r>
      <rPr>
        <sz val="11"/>
        <color rgb="FF000000"/>
        <rFont val="Noto Sans CJK SC"/>
        <family val="2"/>
      </rPr>
      <t>整合、驗證、</t>
    </r>
    <r>
      <rPr>
        <sz val="11"/>
        <color rgb="FF000000"/>
        <rFont val="Microsoft JhengHei"/>
        <family val="2"/>
        <charset val="136"/>
      </rPr>
      <t>Demo</t>
    </r>
    <r>
      <rPr>
        <sz val="11"/>
        <color rgb="FF000000"/>
        <rFont val="Noto Sans CJK SC"/>
        <family val="2"/>
      </rPr>
      <t>。契約優先</t>
    </r>
    <r>
      <rPr>
        <sz val="11"/>
        <color rgb="FF000000"/>
        <rFont val="Microsoft JhengHei"/>
        <family val="2"/>
        <charset val="136"/>
      </rPr>
      <t>(T04)</t>
    </r>
    <r>
      <rPr>
        <sz val="11"/>
        <color rgb="FF000000"/>
        <rFont val="Noto Sans CJK SC"/>
        <family val="2"/>
      </rPr>
      <t xml:space="preserve">讓前端可先用 </t>
    </r>
    <r>
      <rPr>
        <sz val="11"/>
        <color rgb="FF000000"/>
        <rFont val="Microsoft JhengHei"/>
        <family val="2"/>
        <charset val="136"/>
      </rPr>
      <t xml:space="preserve">Mock </t>
    </r>
    <r>
      <rPr>
        <sz val="11"/>
        <color rgb="FF000000"/>
        <rFont val="Noto Sans CJK SC"/>
        <family val="2"/>
      </rPr>
      <t>並行。</t>
    </r>
  </si>
  <si>
    <t>優先度：高＝關鍵路徑、卡住會拖累全隊；中＝重要但可平行或稍後。緩衝(T27)吸收延遲。</t>
  </si>
  <si>
    <r>
      <t xml:space="preserve">Git merge / </t>
    </r>
    <r>
      <rPr>
        <sz val="10"/>
        <rFont val="微軟正黑體"/>
        <family val="2"/>
        <charset val="136"/>
      </rPr>
      <t>進度追蹤</t>
    </r>
    <r>
      <rPr>
        <sz val="10"/>
        <rFont val="Arial"/>
        <family val="2"/>
      </rPr>
      <t xml:space="preserve"> / </t>
    </r>
    <r>
      <rPr>
        <sz val="10"/>
        <rFont val="微軟正黑體"/>
        <family val="2"/>
        <charset val="136"/>
      </rPr>
      <t>支援</t>
    </r>
    <r>
      <rPr>
        <sz val="10"/>
        <rFont val="Arial"/>
        <family val="2"/>
      </rPr>
      <t xml:space="preserve"> </t>
    </r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</si>
</sst>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family val="2"/>
      <charset val="1"/>
    </font>
    <font>
      <b/>
      <sz val="15"/>
      <color rgb="FFFFFFFF"/>
      <name val="Microsoft JhengHei"/>
      <family val="2"/>
      <charset val="136"/>
    </font>
    <font>
      <b/>
      <sz val="15"/>
      <color rgb="FFFFFFFF"/>
      <name val="Noto Sans CJK SC"/>
      <family val="2"/>
    </font>
    <font>
      <i/>
      <sz val="10"/>
      <color rgb="FF595959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name val="Microsoft JhengHei"/>
      <family val="2"/>
      <charset val="136"/>
    </font>
    <font>
      <sz val="10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sz val="10"/>
      <name val="Microsoft JhengHei"/>
      <family val="2"/>
      <charset val="136"/>
    </font>
    <font>
      <sz val="10"/>
      <name val="Noto Sans CJK SC"/>
      <family val="2"/>
    </font>
    <font>
      <b/>
      <sz val="11"/>
      <color rgb="FF000000"/>
      <name val="Microsoft JhengHei"/>
      <family val="2"/>
      <charset val="136"/>
    </font>
    <font>
      <sz val="9"/>
      <name val="Noto Sans CJK SC"/>
      <family val="2"/>
      <charset val="1"/>
    </font>
    <font>
      <b/>
      <sz val="11"/>
      <color rgb="FFC00000"/>
      <name val="Microsoft JhengHei"/>
      <family val="2"/>
      <charset val="136"/>
    </font>
    <font>
      <sz val="9"/>
      <name val="Noto Sans CJK SC"/>
      <family val="2"/>
    </font>
    <font>
      <sz val="9"/>
      <name val="Microsoft JhengHei"/>
      <family val="2"/>
      <charset val="136"/>
    </font>
    <font>
      <b/>
      <sz val="11"/>
      <color rgb="FFC00000"/>
      <name val="Noto Sans CJK SC"/>
      <family val="2"/>
      <charset val="1"/>
    </font>
    <font>
      <b/>
      <sz val="10"/>
      <color rgb="FFFFFFFF"/>
      <name val="Microsoft JhengHei"/>
      <family val="2"/>
      <charset val="136"/>
    </font>
    <font>
      <b/>
      <sz val="10"/>
      <color rgb="FFFFFFFF"/>
      <name val="Noto Sans CJK SC"/>
      <family val="2"/>
    </font>
    <font>
      <b/>
      <sz val="14"/>
      <color rgb="FFFFFFFF"/>
      <name val="Noto Sans CJK SC"/>
      <family val="2"/>
      <charset val="1"/>
    </font>
    <font>
      <b/>
      <sz val="9"/>
      <name val="Microsoft JhengHei"/>
      <family val="2"/>
      <charset val="136"/>
    </font>
    <font>
      <b/>
      <sz val="8"/>
      <color rgb="FFFFFFFF"/>
      <name val="Noto Sans CJK SC"/>
      <family val="2"/>
      <charset val="1"/>
    </font>
    <font>
      <b/>
      <sz val="8"/>
      <color rgb="FFFFFFFF"/>
      <name val="Microsoft JhengHei"/>
      <family val="2"/>
      <charset val="136"/>
    </font>
    <font>
      <b/>
      <sz val="9"/>
      <name val="Noto Sans CJK SC"/>
      <family val="2"/>
      <charset val="1"/>
    </font>
    <font>
      <b/>
      <sz val="8"/>
      <color rgb="FFFFFFFF"/>
      <name val="Noto Sans CJK SC"/>
      <family val="2"/>
    </font>
    <font>
      <b/>
      <sz val="12"/>
      <name val="Microsoft JhengHei"/>
      <family val="2"/>
      <charset val="136"/>
    </font>
    <font>
      <b/>
      <sz val="14"/>
      <color rgb="FFFFFFFF"/>
      <name val="Microsoft JhengHei"/>
      <family val="2"/>
      <charset val="136"/>
    </font>
    <font>
      <b/>
      <sz val="14"/>
      <color rgb="FFFFFFFF"/>
      <name val="Noto Sans CJK SC"/>
      <family val="2"/>
    </font>
    <font>
      <sz val="10"/>
      <color rgb="FF000000"/>
      <name val="Microsoft JhengHei"/>
      <family val="2"/>
      <charset val="136"/>
    </font>
    <font>
      <sz val="11"/>
      <color rgb="FF000000"/>
      <name val="Microsoft JhengHei"/>
      <family val="2"/>
      <charset val="136"/>
    </font>
    <font>
      <sz val="11"/>
      <color rgb="FF000000"/>
      <name val="Noto Sans CJK SC"/>
      <family val="2"/>
    </font>
    <font>
      <sz val="10"/>
      <color rgb="FF595959"/>
      <name val="Noto Sans CJK SC"/>
      <family val="2"/>
      <charset val="1"/>
    </font>
    <font>
      <sz val="9"/>
      <name val="細明體"/>
      <family val="3"/>
      <charset val="136"/>
    </font>
    <font>
      <sz val="10"/>
      <name val="微軟正黑體"/>
      <family val="2"/>
      <charset val="136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left" vertical="center" wrapText="1"/>
    </xf>
    <xf numFmtId="0" fontId="6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11" fillId="0" borderId="1" xfId="0" applyFont="1" applyBorder="1" applyAlignment="1">
      <alignment horizontal="left" vertical="center" wrapText="1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/>
    </xf>
    <xf numFmtId="0" fontId="0" fillId="3" borderId="1" xfId="0" applyFill="1" applyBorder="1"/>
    <xf numFmtId="0" fontId="0" fillId="0" borderId="1" xfId="0" applyBorder="1"/>
    <xf numFmtId="0" fontId="20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left" vertical="center"/>
    </xf>
    <xf numFmtId="0" fontId="0" fillId="7" borderId="1" xfId="0" applyFill="1" applyBorder="1"/>
    <xf numFmtId="0" fontId="20" fillId="8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20" fillId="9" borderId="1" xfId="0" applyFont="1" applyFill="1" applyBorder="1" applyAlignment="1">
      <alignment horizontal="center" vertical="center"/>
    </xf>
    <xf numFmtId="0" fontId="21" fillId="9" borderId="1" xfId="0" applyFont="1" applyFill="1" applyBorder="1" applyAlignment="1">
      <alignment horizontal="left" vertical="center"/>
    </xf>
    <xf numFmtId="0" fontId="0" fillId="9" borderId="1" xfId="0" applyFill="1" applyBorder="1"/>
    <xf numFmtId="0" fontId="20" fillId="11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left" vertical="center"/>
    </xf>
    <xf numFmtId="0" fontId="0" fillId="11" borderId="1" xfId="0" applyFill="1" applyBorder="1"/>
    <xf numFmtId="0" fontId="21" fillId="0" borderId="1" xfId="0" applyFont="1" applyBorder="1" applyAlignment="1">
      <alignment horizontal="left" vertical="center"/>
    </xf>
    <xf numFmtId="0" fontId="21" fillId="8" borderId="1" xfId="0" applyFont="1" applyFill="1" applyBorder="1" applyAlignment="1">
      <alignment horizontal="left" vertical="center"/>
    </xf>
    <xf numFmtId="0" fontId="21" fillId="13" borderId="1" xfId="0" applyFont="1" applyFill="1" applyBorder="1" applyAlignment="1">
      <alignment horizontal="center" vertical="center"/>
    </xf>
    <xf numFmtId="0" fontId="21" fillId="13" borderId="1" xfId="0" applyFont="1" applyFill="1" applyBorder="1" applyAlignment="1">
      <alignment horizontal="left" vertical="center"/>
    </xf>
    <xf numFmtId="0" fontId="0" fillId="13" borderId="1" xfId="0" applyFill="1" applyBorder="1"/>
    <xf numFmtId="0" fontId="20" fillId="2" borderId="1" xfId="0" applyFont="1" applyFill="1" applyBorder="1" applyAlignment="1">
      <alignment horizontal="left" vertical="center"/>
    </xf>
    <xf numFmtId="0" fontId="20" fillId="1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left" vertical="center"/>
    </xf>
    <xf numFmtId="0" fontId="0" fillId="15" borderId="1" xfId="0" applyFill="1" applyBorder="1"/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left" vertical="center"/>
    </xf>
    <xf numFmtId="0" fontId="0" fillId="10" borderId="1" xfId="0" applyFill="1" applyBorder="1"/>
    <xf numFmtId="0" fontId="4" fillId="3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4" fillId="1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28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25" fillId="2" borderId="0" xfId="0" applyFont="1" applyFill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tabSelected="1" zoomScaleNormal="100" workbookViewId="0">
      <pane ySplit="3" topLeftCell="A4" activePane="bottomLeft" state="frozen"/>
      <selection pane="bottomLeft" sqref="A1:L1"/>
    </sheetView>
  </sheetViews>
  <sheetFormatPr defaultColWidth="8.7109375" defaultRowHeight="15"/>
  <cols>
    <col min="1" max="2" width="8" customWidth="1"/>
    <col min="3" max="3" width="15" customWidth="1"/>
    <col min="4" max="4" width="40" customWidth="1"/>
    <col min="5" max="5" width="15" customWidth="1"/>
    <col min="6" max="6" width="6" customWidth="1"/>
    <col min="7" max="9" width="8" customWidth="1"/>
    <col min="10" max="10" width="7" customWidth="1"/>
    <col min="11" max="11" width="12" customWidth="1"/>
    <col min="12" max="12" width="34" customWidth="1"/>
    <col min="13" max="13" width="64" customWidth="1"/>
  </cols>
  <sheetData>
    <row r="1" spans="1:13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3" ht="19.5" customHeight="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3" ht="24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</row>
    <row r="4" spans="1:13" ht="87.75" customHeight="1">
      <c r="A4" s="2" t="s">
        <v>15</v>
      </c>
      <c r="B4" s="3" t="s">
        <v>16</v>
      </c>
      <c r="C4" s="4" t="s">
        <v>17</v>
      </c>
      <c r="D4" s="5" t="s">
        <v>18</v>
      </c>
      <c r="E4" s="6" t="s">
        <v>19</v>
      </c>
      <c r="F4" s="7">
        <v>1</v>
      </c>
      <c r="G4" s="8" t="s">
        <v>20</v>
      </c>
      <c r="H4" s="7">
        <v>1</v>
      </c>
      <c r="I4" s="7">
        <v>15</v>
      </c>
      <c r="J4" s="7">
        <f t="shared" ref="J4:J31" si="0">I4-H4+1</f>
        <v>15</v>
      </c>
      <c r="K4" s="5" t="s">
        <v>21</v>
      </c>
      <c r="L4" s="9" t="s">
        <v>22</v>
      </c>
      <c r="M4" s="10" t="s">
        <v>23</v>
      </c>
    </row>
    <row r="5" spans="1:13" ht="115.5" customHeight="1">
      <c r="A5" s="2" t="s">
        <v>24</v>
      </c>
      <c r="B5" s="11" t="s">
        <v>25</v>
      </c>
      <c r="C5" s="12" t="s">
        <v>26</v>
      </c>
      <c r="D5" s="9" t="s">
        <v>27</v>
      </c>
      <c r="E5" s="13" t="s">
        <v>28</v>
      </c>
      <c r="F5" s="7">
        <v>2</v>
      </c>
      <c r="G5" s="8" t="s">
        <v>20</v>
      </c>
      <c r="H5" s="7">
        <v>1</v>
      </c>
      <c r="I5" s="7">
        <v>3</v>
      </c>
      <c r="J5" s="7">
        <f t="shared" si="0"/>
        <v>3</v>
      </c>
      <c r="K5" s="5" t="s">
        <v>21</v>
      </c>
      <c r="L5" s="5" t="s">
        <v>29</v>
      </c>
      <c r="M5" s="14" t="s">
        <v>30</v>
      </c>
    </row>
    <row r="6" spans="1:13" ht="87.75" customHeight="1">
      <c r="A6" s="2" t="s">
        <v>31</v>
      </c>
      <c r="B6" s="11" t="s">
        <v>25</v>
      </c>
      <c r="C6" s="12" t="s">
        <v>26</v>
      </c>
      <c r="D6" s="5" t="s">
        <v>32</v>
      </c>
      <c r="E6" s="6" t="s">
        <v>33</v>
      </c>
      <c r="F6" s="7">
        <v>1</v>
      </c>
      <c r="G6" s="8" t="s">
        <v>20</v>
      </c>
      <c r="H6" s="7">
        <v>2</v>
      </c>
      <c r="I6" s="7">
        <v>4</v>
      </c>
      <c r="J6" s="7">
        <f t="shared" si="0"/>
        <v>3</v>
      </c>
      <c r="K6" s="5" t="s">
        <v>24</v>
      </c>
      <c r="L6" s="9" t="s">
        <v>34</v>
      </c>
      <c r="M6" s="14" t="s">
        <v>35</v>
      </c>
    </row>
    <row r="7" spans="1:13" ht="102" customHeight="1">
      <c r="A7" s="2" t="s">
        <v>36</v>
      </c>
      <c r="B7" s="11" t="s">
        <v>25</v>
      </c>
      <c r="C7" s="12" t="s">
        <v>26</v>
      </c>
      <c r="D7" s="9" t="s">
        <v>37</v>
      </c>
      <c r="E7" s="13" t="s">
        <v>38</v>
      </c>
      <c r="F7" s="7">
        <v>2</v>
      </c>
      <c r="G7" s="8" t="s">
        <v>20</v>
      </c>
      <c r="H7" s="7">
        <v>2</v>
      </c>
      <c r="I7" s="7">
        <v>5</v>
      </c>
      <c r="J7" s="7">
        <f t="shared" si="0"/>
        <v>4</v>
      </c>
      <c r="K7" s="5" t="s">
        <v>31</v>
      </c>
      <c r="L7" s="9" t="s">
        <v>39</v>
      </c>
      <c r="M7" s="14" t="s">
        <v>40</v>
      </c>
    </row>
    <row r="8" spans="1:13" ht="87.75" customHeight="1">
      <c r="A8" s="2" t="s">
        <v>41</v>
      </c>
      <c r="B8" s="11" t="s">
        <v>25</v>
      </c>
      <c r="C8" s="12" t="s">
        <v>26</v>
      </c>
      <c r="D8" s="5" t="s">
        <v>42</v>
      </c>
      <c r="E8" s="13" t="s">
        <v>43</v>
      </c>
      <c r="F8" s="7">
        <v>3</v>
      </c>
      <c r="G8" s="8" t="s">
        <v>20</v>
      </c>
      <c r="H8" s="7">
        <v>3</v>
      </c>
      <c r="I8" s="7">
        <v>5</v>
      </c>
      <c r="J8" s="7">
        <f t="shared" si="0"/>
        <v>3</v>
      </c>
      <c r="K8" s="5" t="s">
        <v>21</v>
      </c>
      <c r="L8" s="5" t="s">
        <v>44</v>
      </c>
      <c r="M8" s="10" t="s">
        <v>45</v>
      </c>
    </row>
    <row r="9" spans="1:13" ht="73.5" customHeight="1">
      <c r="A9" s="2" t="s">
        <v>46</v>
      </c>
      <c r="B9" s="11" t="s">
        <v>25</v>
      </c>
      <c r="C9" s="15" t="s">
        <v>47</v>
      </c>
      <c r="D9" s="9" t="s">
        <v>48</v>
      </c>
      <c r="E9" s="6" t="s">
        <v>49</v>
      </c>
      <c r="F9" s="7">
        <v>1</v>
      </c>
      <c r="G9" s="8" t="s">
        <v>20</v>
      </c>
      <c r="H9" s="7">
        <v>1</v>
      </c>
      <c r="I9" s="7">
        <v>2</v>
      </c>
      <c r="J9" s="7">
        <f t="shared" si="0"/>
        <v>2</v>
      </c>
      <c r="K9" s="5" t="s">
        <v>21</v>
      </c>
      <c r="L9" s="9" t="s">
        <v>50</v>
      </c>
      <c r="M9" s="10" t="s">
        <v>51</v>
      </c>
    </row>
    <row r="10" spans="1:13" ht="87.75" customHeight="1">
      <c r="A10" s="2" t="s">
        <v>52</v>
      </c>
      <c r="B10" s="11" t="s">
        <v>25</v>
      </c>
      <c r="C10" s="15" t="s">
        <v>47</v>
      </c>
      <c r="D10" s="9" t="s">
        <v>53</v>
      </c>
      <c r="E10" s="6" t="s">
        <v>54</v>
      </c>
      <c r="F10" s="7">
        <v>1</v>
      </c>
      <c r="G10" s="8" t="s">
        <v>20</v>
      </c>
      <c r="H10" s="7">
        <v>2</v>
      </c>
      <c r="I10" s="7">
        <v>4</v>
      </c>
      <c r="J10" s="7">
        <f t="shared" si="0"/>
        <v>3</v>
      </c>
      <c r="K10" s="5" t="s">
        <v>46</v>
      </c>
      <c r="L10" s="9" t="s">
        <v>55</v>
      </c>
      <c r="M10" s="10" t="s">
        <v>56</v>
      </c>
    </row>
    <row r="11" spans="1:13" ht="87.75" customHeight="1">
      <c r="A11" s="2" t="s">
        <v>57</v>
      </c>
      <c r="B11" s="11" t="s">
        <v>25</v>
      </c>
      <c r="C11" s="16" t="s">
        <v>58</v>
      </c>
      <c r="D11" s="5" t="s">
        <v>59</v>
      </c>
      <c r="E11" s="17" t="s">
        <v>60</v>
      </c>
      <c r="F11" s="7">
        <v>7</v>
      </c>
      <c r="G11" s="8" t="s">
        <v>20</v>
      </c>
      <c r="H11" s="7">
        <v>4</v>
      </c>
      <c r="I11" s="7">
        <v>6</v>
      </c>
      <c r="J11" s="7">
        <f t="shared" si="0"/>
        <v>3</v>
      </c>
      <c r="K11" s="5" t="s">
        <v>21</v>
      </c>
      <c r="L11" s="9" t="s">
        <v>61</v>
      </c>
      <c r="M11" s="10" t="s">
        <v>62</v>
      </c>
    </row>
    <row r="12" spans="1:13" ht="73.5" customHeight="1">
      <c r="A12" s="2" t="s">
        <v>63</v>
      </c>
      <c r="B12" s="11" t="s">
        <v>25</v>
      </c>
      <c r="C12" s="18" t="s">
        <v>64</v>
      </c>
      <c r="D12" s="9" t="s">
        <v>65</v>
      </c>
      <c r="E12" s="6" t="s">
        <v>66</v>
      </c>
      <c r="F12" s="7">
        <v>1</v>
      </c>
      <c r="G12" s="19" t="s">
        <v>67</v>
      </c>
      <c r="H12" s="7">
        <v>1</v>
      </c>
      <c r="I12" s="7">
        <v>3</v>
      </c>
      <c r="J12" s="7">
        <f t="shared" si="0"/>
        <v>3</v>
      </c>
      <c r="K12" s="5" t="s">
        <v>21</v>
      </c>
      <c r="L12" s="5" t="s">
        <v>68</v>
      </c>
      <c r="M12" s="10" t="s">
        <v>69</v>
      </c>
    </row>
    <row r="13" spans="1:13" ht="73.5" customHeight="1">
      <c r="A13" s="2" t="s">
        <v>70</v>
      </c>
      <c r="B13" s="11" t="s">
        <v>25</v>
      </c>
      <c r="C13" s="20" t="s">
        <v>71</v>
      </c>
      <c r="D13" s="5" t="s">
        <v>72</v>
      </c>
      <c r="E13" s="6" t="s">
        <v>73</v>
      </c>
      <c r="F13" s="7">
        <v>1</v>
      </c>
      <c r="G13" s="19" t="s">
        <v>67</v>
      </c>
      <c r="H13" s="7">
        <v>1</v>
      </c>
      <c r="I13" s="7">
        <v>2</v>
      </c>
      <c r="J13" s="7">
        <f t="shared" si="0"/>
        <v>2</v>
      </c>
      <c r="K13" s="5" t="s">
        <v>21</v>
      </c>
      <c r="L13" s="9" t="s">
        <v>74</v>
      </c>
      <c r="M13" s="10" t="s">
        <v>75</v>
      </c>
    </row>
    <row r="14" spans="1:13" ht="87.75" customHeight="1">
      <c r="A14" s="2" t="s">
        <v>76</v>
      </c>
      <c r="B14" s="21" t="s">
        <v>77</v>
      </c>
      <c r="C14" s="15" t="s">
        <v>47</v>
      </c>
      <c r="D14" s="9" t="s">
        <v>78</v>
      </c>
      <c r="E14" s="6" t="s">
        <v>49</v>
      </c>
      <c r="F14" s="7">
        <v>1</v>
      </c>
      <c r="G14" s="8" t="s">
        <v>20</v>
      </c>
      <c r="H14" s="7">
        <v>6</v>
      </c>
      <c r="I14" s="7">
        <v>9</v>
      </c>
      <c r="J14" s="7">
        <f t="shared" si="0"/>
        <v>4</v>
      </c>
      <c r="K14" s="5" t="s">
        <v>52</v>
      </c>
      <c r="L14" s="5" t="s">
        <v>79</v>
      </c>
      <c r="M14" s="10" t="s">
        <v>80</v>
      </c>
    </row>
    <row r="15" spans="1:13" ht="87.75" customHeight="1">
      <c r="A15" s="2" t="s">
        <v>81</v>
      </c>
      <c r="B15" s="21" t="s">
        <v>77</v>
      </c>
      <c r="C15" s="16" t="s">
        <v>58</v>
      </c>
      <c r="D15" s="5" t="s">
        <v>82</v>
      </c>
      <c r="E15" s="13" t="s">
        <v>83</v>
      </c>
      <c r="F15" s="7">
        <v>2</v>
      </c>
      <c r="G15" s="8" t="s">
        <v>20</v>
      </c>
      <c r="H15" s="7">
        <v>6</v>
      </c>
      <c r="I15" s="7">
        <v>7</v>
      </c>
      <c r="J15" s="7">
        <f t="shared" si="0"/>
        <v>2</v>
      </c>
      <c r="K15" s="5" t="s">
        <v>57</v>
      </c>
      <c r="L15" s="9" t="s">
        <v>84</v>
      </c>
      <c r="M15" s="10" t="s">
        <v>85</v>
      </c>
    </row>
    <row r="16" spans="1:13" ht="73.5" customHeight="1">
      <c r="A16" s="2" t="s">
        <v>86</v>
      </c>
      <c r="B16" s="21" t="s">
        <v>77</v>
      </c>
      <c r="C16" s="16" t="s">
        <v>58</v>
      </c>
      <c r="D16" s="9" t="s">
        <v>87</v>
      </c>
      <c r="E16" s="6" t="s">
        <v>83</v>
      </c>
      <c r="F16" s="7">
        <v>1</v>
      </c>
      <c r="G16" s="8" t="s">
        <v>20</v>
      </c>
      <c r="H16" s="7">
        <v>7</v>
      </c>
      <c r="I16" s="7">
        <v>10</v>
      </c>
      <c r="J16" s="7">
        <f t="shared" si="0"/>
        <v>4</v>
      </c>
      <c r="K16" s="5" t="s">
        <v>81</v>
      </c>
      <c r="L16" s="9" t="s">
        <v>88</v>
      </c>
      <c r="M16" s="10" t="s">
        <v>89</v>
      </c>
    </row>
    <row r="17" spans="1:13" ht="87.75" customHeight="1">
      <c r="A17" s="2" t="s">
        <v>90</v>
      </c>
      <c r="B17" s="21" t="s">
        <v>25</v>
      </c>
      <c r="C17" s="22" t="s">
        <v>91</v>
      </c>
      <c r="D17" s="5" t="s">
        <v>92</v>
      </c>
      <c r="E17" s="6" t="s">
        <v>93</v>
      </c>
      <c r="F17" s="7">
        <v>1</v>
      </c>
      <c r="G17" s="8" t="s">
        <v>20</v>
      </c>
      <c r="H17" s="7">
        <v>1</v>
      </c>
      <c r="I17" s="7">
        <v>5</v>
      </c>
      <c r="J17" s="7">
        <f t="shared" si="0"/>
        <v>5</v>
      </c>
      <c r="K17" s="5" t="s">
        <v>21</v>
      </c>
      <c r="L17" s="9" t="s">
        <v>94</v>
      </c>
      <c r="M17" s="10" t="s">
        <v>95</v>
      </c>
    </row>
    <row r="18" spans="1:13" ht="87.75" customHeight="1">
      <c r="A18" s="2" t="s">
        <v>96</v>
      </c>
      <c r="B18" s="21" t="s">
        <v>77</v>
      </c>
      <c r="C18" s="22" t="s">
        <v>91</v>
      </c>
      <c r="D18" s="5" t="s">
        <v>97</v>
      </c>
      <c r="E18" s="6" t="s">
        <v>93</v>
      </c>
      <c r="F18" s="7">
        <v>1</v>
      </c>
      <c r="G18" s="19" t="s">
        <v>67</v>
      </c>
      <c r="H18" s="7">
        <v>8</v>
      </c>
      <c r="I18" s="7">
        <v>10</v>
      </c>
      <c r="J18" s="7">
        <f t="shared" si="0"/>
        <v>3</v>
      </c>
      <c r="K18" s="5" t="s">
        <v>90</v>
      </c>
      <c r="L18" s="9" t="s">
        <v>98</v>
      </c>
      <c r="M18" s="10" t="s">
        <v>99</v>
      </c>
    </row>
    <row r="19" spans="1:13" ht="87.75" customHeight="1">
      <c r="A19" s="2" t="s">
        <v>100</v>
      </c>
      <c r="B19" s="21" t="s">
        <v>77</v>
      </c>
      <c r="C19" s="20" t="s">
        <v>71</v>
      </c>
      <c r="D19" s="9" t="s">
        <v>101</v>
      </c>
      <c r="E19" s="13" t="s">
        <v>73</v>
      </c>
      <c r="F19" s="7">
        <v>2</v>
      </c>
      <c r="G19" s="8" t="s">
        <v>20</v>
      </c>
      <c r="H19" s="7">
        <v>6</v>
      </c>
      <c r="I19" s="7">
        <v>9</v>
      </c>
      <c r="J19" s="7">
        <f t="shared" si="0"/>
        <v>4</v>
      </c>
      <c r="K19" s="5" t="s">
        <v>36</v>
      </c>
      <c r="L19" s="5" t="s">
        <v>102</v>
      </c>
      <c r="M19" s="10" t="s">
        <v>103</v>
      </c>
    </row>
    <row r="20" spans="1:13" ht="87.75" customHeight="1">
      <c r="A20" s="2" t="s">
        <v>104</v>
      </c>
      <c r="B20" s="21" t="s">
        <v>77</v>
      </c>
      <c r="C20" s="20" t="s">
        <v>71</v>
      </c>
      <c r="D20" s="5" t="s">
        <v>105</v>
      </c>
      <c r="E20" s="6" t="s">
        <v>73</v>
      </c>
      <c r="F20" s="7">
        <v>1</v>
      </c>
      <c r="G20" s="8" t="s">
        <v>20</v>
      </c>
      <c r="H20" s="7">
        <v>3</v>
      </c>
      <c r="I20" s="7">
        <v>6</v>
      </c>
      <c r="J20" s="7">
        <f t="shared" si="0"/>
        <v>4</v>
      </c>
      <c r="K20" s="5" t="s">
        <v>70</v>
      </c>
      <c r="L20" s="5" t="s">
        <v>106</v>
      </c>
      <c r="M20" s="10" t="s">
        <v>107</v>
      </c>
    </row>
    <row r="21" spans="1:13" ht="87.75" customHeight="1">
      <c r="A21" s="2" t="s">
        <v>108</v>
      </c>
      <c r="B21" s="21" t="s">
        <v>77</v>
      </c>
      <c r="C21" s="20" t="s">
        <v>71</v>
      </c>
      <c r="D21" s="9" t="s">
        <v>109</v>
      </c>
      <c r="E21" s="13" t="s">
        <v>110</v>
      </c>
      <c r="F21" s="7">
        <v>3</v>
      </c>
      <c r="G21" s="8" t="s">
        <v>20</v>
      </c>
      <c r="H21" s="7">
        <v>8</v>
      </c>
      <c r="I21" s="7">
        <v>11</v>
      </c>
      <c r="J21" s="7">
        <f t="shared" si="0"/>
        <v>4</v>
      </c>
      <c r="K21" s="5" t="s">
        <v>104</v>
      </c>
      <c r="L21" s="5" t="s">
        <v>111</v>
      </c>
      <c r="M21" s="10" t="s">
        <v>112</v>
      </c>
    </row>
    <row r="22" spans="1:13" ht="73.5" customHeight="1">
      <c r="A22" s="2" t="s">
        <v>113</v>
      </c>
      <c r="B22" s="21" t="s">
        <v>77</v>
      </c>
      <c r="C22" s="18" t="s">
        <v>64</v>
      </c>
      <c r="D22" s="9" t="s">
        <v>114</v>
      </c>
      <c r="E22" s="6" t="s">
        <v>66</v>
      </c>
      <c r="F22" s="7">
        <v>1</v>
      </c>
      <c r="G22" s="8" t="s">
        <v>20</v>
      </c>
      <c r="H22" s="7">
        <v>6</v>
      </c>
      <c r="I22" s="7">
        <v>8</v>
      </c>
      <c r="J22" s="7">
        <f t="shared" si="0"/>
        <v>3</v>
      </c>
      <c r="K22" s="5" t="s">
        <v>41</v>
      </c>
      <c r="L22" s="9" t="s">
        <v>115</v>
      </c>
      <c r="M22" s="10" t="s">
        <v>116</v>
      </c>
    </row>
    <row r="23" spans="1:13" ht="87.75" customHeight="1">
      <c r="A23" s="2" t="s">
        <v>117</v>
      </c>
      <c r="B23" s="21" t="s">
        <v>77</v>
      </c>
      <c r="C23" s="12" t="s">
        <v>26</v>
      </c>
      <c r="D23" s="5" t="s">
        <v>118</v>
      </c>
      <c r="E23" s="6" t="s">
        <v>43</v>
      </c>
      <c r="F23" s="7">
        <v>1</v>
      </c>
      <c r="G23" s="8" t="s">
        <v>20</v>
      </c>
      <c r="H23" s="7">
        <v>8</v>
      </c>
      <c r="I23" s="7">
        <v>10</v>
      </c>
      <c r="J23" s="7">
        <f t="shared" si="0"/>
        <v>3</v>
      </c>
      <c r="K23" s="5" t="s">
        <v>119</v>
      </c>
      <c r="L23" s="9" t="s">
        <v>120</v>
      </c>
      <c r="M23" s="14" t="s">
        <v>121</v>
      </c>
    </row>
    <row r="24" spans="1:13" ht="73.5" customHeight="1">
      <c r="A24" s="2" t="s">
        <v>122</v>
      </c>
      <c r="B24" s="23" t="s">
        <v>123</v>
      </c>
      <c r="C24" s="4" t="s">
        <v>17</v>
      </c>
      <c r="D24" s="9" t="s">
        <v>124</v>
      </c>
      <c r="E24" s="17" t="s">
        <v>60</v>
      </c>
      <c r="F24" s="7">
        <v>6</v>
      </c>
      <c r="G24" s="8" t="s">
        <v>20</v>
      </c>
      <c r="H24" s="7">
        <v>11</v>
      </c>
      <c r="I24" s="7">
        <v>13</v>
      </c>
      <c r="J24" s="7">
        <f t="shared" si="0"/>
        <v>3</v>
      </c>
      <c r="K24" s="5" t="s">
        <v>125</v>
      </c>
      <c r="L24" s="9" t="s">
        <v>126</v>
      </c>
      <c r="M24" s="10" t="s">
        <v>127</v>
      </c>
    </row>
    <row r="25" spans="1:13" ht="87.75" customHeight="1">
      <c r="A25" s="2" t="s">
        <v>128</v>
      </c>
      <c r="B25" s="23" t="s">
        <v>123</v>
      </c>
      <c r="C25" s="4" t="s">
        <v>17</v>
      </c>
      <c r="D25" s="5" t="s">
        <v>129</v>
      </c>
      <c r="E25" s="13" t="s">
        <v>130</v>
      </c>
      <c r="F25" s="7">
        <v>2</v>
      </c>
      <c r="G25" s="8" t="s">
        <v>20</v>
      </c>
      <c r="H25" s="7">
        <v>11</v>
      </c>
      <c r="I25" s="7">
        <v>14</v>
      </c>
      <c r="J25" s="7">
        <f t="shared" si="0"/>
        <v>4</v>
      </c>
      <c r="K25" s="5" t="s">
        <v>117</v>
      </c>
      <c r="L25" s="9" t="s">
        <v>131</v>
      </c>
      <c r="M25" s="10" t="s">
        <v>132</v>
      </c>
    </row>
    <row r="26" spans="1:13" ht="60" customHeight="1">
      <c r="A26" s="2" t="s">
        <v>133</v>
      </c>
      <c r="B26" s="23" t="s">
        <v>123</v>
      </c>
      <c r="C26" s="18" t="s">
        <v>64</v>
      </c>
      <c r="D26" s="9" t="s">
        <v>134</v>
      </c>
      <c r="E26" s="13" t="s">
        <v>135</v>
      </c>
      <c r="F26" s="7">
        <v>2</v>
      </c>
      <c r="G26" s="8" t="s">
        <v>20</v>
      </c>
      <c r="H26" s="7">
        <v>11</v>
      </c>
      <c r="I26" s="7">
        <v>14</v>
      </c>
      <c r="J26" s="7">
        <f t="shared" si="0"/>
        <v>4</v>
      </c>
      <c r="K26" s="5" t="s">
        <v>136</v>
      </c>
      <c r="L26" s="9" t="s">
        <v>137</v>
      </c>
      <c r="M26" s="10" t="s">
        <v>138</v>
      </c>
    </row>
    <row r="27" spans="1:13" ht="73.5" customHeight="1">
      <c r="A27" s="2" t="s">
        <v>139</v>
      </c>
      <c r="B27" s="23" t="s">
        <v>123</v>
      </c>
      <c r="C27" s="24" t="s">
        <v>140</v>
      </c>
      <c r="D27" s="9" t="s">
        <v>141</v>
      </c>
      <c r="E27" s="13" t="s">
        <v>142</v>
      </c>
      <c r="F27" s="7">
        <v>2</v>
      </c>
      <c r="G27" s="19" t="s">
        <v>67</v>
      </c>
      <c r="H27" s="7">
        <v>11</v>
      </c>
      <c r="I27" s="7">
        <v>13</v>
      </c>
      <c r="J27" s="7">
        <f t="shared" si="0"/>
        <v>3</v>
      </c>
      <c r="K27" s="5" t="s">
        <v>143</v>
      </c>
      <c r="L27" s="5" t="s">
        <v>144</v>
      </c>
      <c r="M27" s="10" t="s">
        <v>145</v>
      </c>
    </row>
    <row r="28" spans="1:13" ht="73.5" customHeight="1">
      <c r="A28" s="2" t="s">
        <v>146</v>
      </c>
      <c r="B28" s="23" t="s">
        <v>123</v>
      </c>
      <c r="C28" s="24" t="s">
        <v>140</v>
      </c>
      <c r="D28" s="9" t="s">
        <v>147</v>
      </c>
      <c r="E28" s="6" t="s">
        <v>73</v>
      </c>
      <c r="F28" s="7">
        <v>1</v>
      </c>
      <c r="G28" s="19" t="s">
        <v>67</v>
      </c>
      <c r="H28" s="7">
        <v>12</v>
      </c>
      <c r="I28" s="7">
        <v>14</v>
      </c>
      <c r="J28" s="7">
        <f t="shared" si="0"/>
        <v>3</v>
      </c>
      <c r="K28" s="5" t="s">
        <v>108</v>
      </c>
      <c r="L28" s="9" t="s">
        <v>148</v>
      </c>
      <c r="M28" s="10" t="s">
        <v>149</v>
      </c>
    </row>
    <row r="29" spans="1:13" ht="60" customHeight="1">
      <c r="A29" s="2" t="s">
        <v>150</v>
      </c>
      <c r="B29" s="23" t="s">
        <v>123</v>
      </c>
      <c r="C29" s="24" t="s">
        <v>140</v>
      </c>
      <c r="D29" s="9" t="s">
        <v>151</v>
      </c>
      <c r="E29" s="13" t="s">
        <v>152</v>
      </c>
      <c r="F29" s="7">
        <v>3</v>
      </c>
      <c r="G29" s="8" t="s">
        <v>20</v>
      </c>
      <c r="H29" s="7">
        <v>13</v>
      </c>
      <c r="I29" s="7">
        <v>14</v>
      </c>
      <c r="J29" s="7">
        <f t="shared" si="0"/>
        <v>2</v>
      </c>
      <c r="K29" s="5" t="s">
        <v>153</v>
      </c>
      <c r="L29" s="9" t="s">
        <v>154</v>
      </c>
      <c r="M29" s="10" t="s">
        <v>155</v>
      </c>
    </row>
    <row r="30" spans="1:13" ht="60" customHeight="1">
      <c r="A30" s="2" t="s">
        <v>156</v>
      </c>
      <c r="B30" s="23" t="s">
        <v>123</v>
      </c>
      <c r="C30" s="25" t="s">
        <v>157</v>
      </c>
      <c r="D30" s="5" t="s">
        <v>158</v>
      </c>
      <c r="E30" s="17" t="s">
        <v>60</v>
      </c>
      <c r="F30" s="7">
        <v>7</v>
      </c>
      <c r="G30" s="8" t="s">
        <v>20</v>
      </c>
      <c r="H30" s="7">
        <v>14</v>
      </c>
      <c r="I30" s="7">
        <v>15</v>
      </c>
      <c r="J30" s="7">
        <f t="shared" si="0"/>
        <v>2</v>
      </c>
      <c r="K30" s="5" t="s">
        <v>159</v>
      </c>
      <c r="L30" s="5" t="s">
        <v>160</v>
      </c>
      <c r="M30" s="10" t="s">
        <v>161</v>
      </c>
    </row>
    <row r="31" spans="1:13" ht="45.75" customHeight="1">
      <c r="A31" s="2" t="s">
        <v>162</v>
      </c>
      <c r="B31" s="23" t="s">
        <v>123</v>
      </c>
      <c r="C31" s="25" t="s">
        <v>157</v>
      </c>
      <c r="D31" s="9" t="s">
        <v>163</v>
      </c>
      <c r="E31" s="17" t="s">
        <v>60</v>
      </c>
      <c r="F31" s="7">
        <v>7</v>
      </c>
      <c r="G31" s="19" t="s">
        <v>67</v>
      </c>
      <c r="H31" s="7">
        <v>15</v>
      </c>
      <c r="I31" s="7">
        <v>15</v>
      </c>
      <c r="J31" s="7">
        <f t="shared" si="0"/>
        <v>1</v>
      </c>
      <c r="K31" s="5" t="s">
        <v>21</v>
      </c>
      <c r="L31" s="5" t="s">
        <v>21</v>
      </c>
      <c r="M31" s="10" t="s">
        <v>164</v>
      </c>
    </row>
  </sheetData>
  <mergeCells count="2">
    <mergeCell ref="A1:L1"/>
    <mergeCell ref="A2:L2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1"/>
  <sheetViews>
    <sheetView zoomScaleNormal="100" workbookViewId="0">
      <pane xSplit="4" ySplit="3" topLeftCell="E7" activePane="bottomRight" state="frozen"/>
      <selection pane="topRight" activeCell="E1" sqref="E1"/>
      <selection pane="bottomLeft" activeCell="A4" sqref="A4"/>
      <selection pane="bottomRight" activeCell="D26" sqref="D26"/>
    </sheetView>
  </sheetViews>
  <sheetFormatPr defaultColWidth="8.7109375" defaultRowHeight="15"/>
  <cols>
    <col min="1" max="1" width="7" customWidth="1"/>
    <col min="2" max="2" width="34" customWidth="1"/>
    <col min="3" max="3" width="14" customWidth="1"/>
    <col min="4" max="4" width="9" customWidth="1"/>
    <col min="5" max="19" width="5.5703125" customWidth="1"/>
  </cols>
  <sheetData>
    <row r="1" spans="1:19" ht="25.5" customHeight="1">
      <c r="A1" s="67" t="s">
        <v>165</v>
      </c>
      <c r="B1" s="67"/>
      <c r="C1" s="67"/>
      <c r="D1" s="67"/>
    </row>
    <row r="2" spans="1:19" ht="15" customHeight="1">
      <c r="A2" s="70" t="s">
        <v>166</v>
      </c>
      <c r="B2" s="70"/>
      <c r="C2" s="70"/>
      <c r="D2" s="70"/>
      <c r="E2" s="71" t="s">
        <v>25</v>
      </c>
      <c r="F2" s="71"/>
      <c r="G2" s="71"/>
      <c r="H2" s="71"/>
      <c r="I2" s="71"/>
      <c r="J2" s="72" t="s">
        <v>77</v>
      </c>
      <c r="K2" s="72"/>
      <c r="L2" s="72"/>
      <c r="M2" s="72"/>
      <c r="N2" s="72"/>
      <c r="O2" s="73" t="s">
        <v>123</v>
      </c>
      <c r="P2" s="73"/>
      <c r="Q2" s="73"/>
      <c r="R2" s="73"/>
      <c r="S2" s="73"/>
    </row>
    <row r="3" spans="1:19" ht="16.5" customHeight="1">
      <c r="A3" s="1" t="s">
        <v>2</v>
      </c>
      <c r="B3" s="1" t="s">
        <v>5</v>
      </c>
      <c r="C3" s="1" t="s">
        <v>4</v>
      </c>
      <c r="D3" s="1" t="s">
        <v>6</v>
      </c>
      <c r="E3" s="26" t="s">
        <v>167</v>
      </c>
      <c r="F3" s="26" t="s">
        <v>168</v>
      </c>
      <c r="G3" s="26" t="s">
        <v>169</v>
      </c>
      <c r="H3" s="26" t="s">
        <v>170</v>
      </c>
      <c r="I3" s="26" t="s">
        <v>171</v>
      </c>
      <c r="J3" s="26" t="s">
        <v>172</v>
      </c>
      <c r="K3" s="26" t="s">
        <v>173</v>
      </c>
      <c r="L3" s="26" t="s">
        <v>174</v>
      </c>
      <c r="M3" s="26" t="s">
        <v>175</v>
      </c>
      <c r="N3" s="26" t="s">
        <v>176</v>
      </c>
      <c r="O3" s="26" t="s">
        <v>177</v>
      </c>
      <c r="P3" s="26" t="s">
        <v>178</v>
      </c>
      <c r="Q3" s="26" t="s">
        <v>179</v>
      </c>
      <c r="R3" s="26" t="s">
        <v>180</v>
      </c>
      <c r="S3" s="26" t="s">
        <v>181</v>
      </c>
    </row>
    <row r="4" spans="1:19" ht="26.25" customHeight="1">
      <c r="A4" s="27" t="s">
        <v>15</v>
      </c>
      <c r="B4" s="28" t="s">
        <v>182</v>
      </c>
      <c r="C4" s="29" t="s">
        <v>17</v>
      </c>
      <c r="D4" s="27" t="s">
        <v>19</v>
      </c>
      <c r="E4" s="30" t="s">
        <v>19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</row>
    <row r="5" spans="1:19" ht="26.25" customHeight="1">
      <c r="A5" s="27" t="s">
        <v>24</v>
      </c>
      <c r="B5" s="32" t="s">
        <v>27</v>
      </c>
      <c r="C5" s="33" t="s">
        <v>26</v>
      </c>
      <c r="D5" s="27" t="s">
        <v>28</v>
      </c>
      <c r="E5" s="34" t="s">
        <v>28</v>
      </c>
      <c r="F5" s="35"/>
      <c r="G5" s="35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</row>
    <row r="6" spans="1:19" ht="15" customHeight="1">
      <c r="A6" s="27" t="s">
        <v>31</v>
      </c>
      <c r="B6" s="28" t="s">
        <v>183</v>
      </c>
      <c r="C6" s="33" t="s">
        <v>26</v>
      </c>
      <c r="D6" s="27" t="s">
        <v>33</v>
      </c>
      <c r="E6" s="36"/>
      <c r="F6" s="34" t="s">
        <v>33</v>
      </c>
      <c r="G6" s="35"/>
      <c r="H6" s="35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</row>
    <row r="7" spans="1:19" ht="26.25" customHeight="1">
      <c r="A7" s="27" t="s">
        <v>36</v>
      </c>
      <c r="B7" s="32" t="s">
        <v>37</v>
      </c>
      <c r="C7" s="33" t="s">
        <v>26</v>
      </c>
      <c r="D7" s="27" t="s">
        <v>38</v>
      </c>
      <c r="E7" s="36"/>
      <c r="F7" s="34" t="s">
        <v>38</v>
      </c>
      <c r="G7" s="35"/>
      <c r="H7" s="35"/>
      <c r="I7" s="35"/>
      <c r="J7" s="36"/>
      <c r="K7" s="36"/>
      <c r="L7" s="36"/>
      <c r="M7" s="36"/>
      <c r="N7" s="36"/>
      <c r="O7" s="36"/>
      <c r="P7" s="36"/>
      <c r="Q7" s="36"/>
      <c r="R7" s="36"/>
      <c r="S7" s="36"/>
    </row>
    <row r="8" spans="1:19" ht="15" customHeight="1">
      <c r="A8" s="27" t="s">
        <v>41</v>
      </c>
      <c r="B8" s="28" t="s">
        <v>184</v>
      </c>
      <c r="C8" s="33" t="s">
        <v>26</v>
      </c>
      <c r="D8" s="27" t="s">
        <v>43</v>
      </c>
      <c r="E8" s="36"/>
      <c r="F8" s="36"/>
      <c r="G8" s="34" t="s">
        <v>43</v>
      </c>
      <c r="H8" s="35"/>
      <c r="I8" s="35"/>
      <c r="J8" s="36"/>
      <c r="K8" s="36"/>
      <c r="L8" s="36"/>
      <c r="M8" s="36"/>
      <c r="N8" s="36"/>
      <c r="O8" s="36"/>
      <c r="P8" s="36"/>
      <c r="Q8" s="36"/>
      <c r="R8" s="36"/>
      <c r="S8" s="36"/>
    </row>
    <row r="9" spans="1:19" ht="15" customHeight="1">
      <c r="A9" s="27" t="s">
        <v>46</v>
      </c>
      <c r="B9" s="32" t="s">
        <v>48</v>
      </c>
      <c r="C9" s="37" t="s">
        <v>47</v>
      </c>
      <c r="D9" s="27" t="s">
        <v>49</v>
      </c>
      <c r="E9" s="38" t="s">
        <v>49</v>
      </c>
      <c r="F9" s="39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</row>
    <row r="10" spans="1:19" ht="15" customHeight="1">
      <c r="A10" s="27" t="s">
        <v>52</v>
      </c>
      <c r="B10" s="32" t="s">
        <v>53</v>
      </c>
      <c r="C10" s="37" t="s">
        <v>47</v>
      </c>
      <c r="D10" s="27" t="s">
        <v>49</v>
      </c>
      <c r="E10" s="36"/>
      <c r="F10" s="38" t="s">
        <v>54</v>
      </c>
      <c r="G10" s="39"/>
      <c r="H10" s="39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</row>
    <row r="11" spans="1:19" ht="15" customHeight="1">
      <c r="A11" s="27" t="s">
        <v>57</v>
      </c>
      <c r="B11" s="28" t="s">
        <v>185</v>
      </c>
      <c r="C11" s="40" t="s">
        <v>58</v>
      </c>
      <c r="D11" s="41" t="s">
        <v>60</v>
      </c>
      <c r="E11" s="36"/>
      <c r="F11" s="36"/>
      <c r="G11" s="36"/>
      <c r="H11" s="42" t="s">
        <v>60</v>
      </c>
      <c r="I11" s="43"/>
      <c r="J11" s="43"/>
      <c r="K11" s="36"/>
      <c r="L11" s="36"/>
      <c r="M11" s="36"/>
      <c r="N11" s="36"/>
      <c r="O11" s="36"/>
      <c r="P11" s="36"/>
      <c r="Q11" s="36"/>
      <c r="R11" s="36"/>
      <c r="S11" s="36"/>
    </row>
    <row r="12" spans="1:19" ht="15" customHeight="1">
      <c r="A12" s="27" t="s">
        <v>63</v>
      </c>
      <c r="B12" s="32" t="s">
        <v>65</v>
      </c>
      <c r="C12" s="44" t="s">
        <v>64</v>
      </c>
      <c r="D12" s="27" t="s">
        <v>66</v>
      </c>
      <c r="E12" s="45" t="s">
        <v>66</v>
      </c>
      <c r="F12" s="46"/>
      <c r="G12" s="4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</row>
    <row r="13" spans="1:19" ht="15" customHeight="1">
      <c r="A13" s="27" t="s">
        <v>70</v>
      </c>
      <c r="B13" s="28" t="s">
        <v>186</v>
      </c>
      <c r="C13" s="47" t="s">
        <v>71</v>
      </c>
      <c r="D13" s="27" t="s">
        <v>73</v>
      </c>
      <c r="E13" s="48" t="s">
        <v>73</v>
      </c>
      <c r="F13" s="49"/>
      <c r="G13" s="50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</row>
    <row r="14" spans="1:19" ht="26.25" customHeight="1">
      <c r="A14" s="27" t="s">
        <v>76</v>
      </c>
      <c r="B14" s="32" t="s">
        <v>78</v>
      </c>
      <c r="C14" s="37" t="s">
        <v>47</v>
      </c>
      <c r="D14" s="27" t="s">
        <v>49</v>
      </c>
      <c r="E14" s="36"/>
      <c r="F14" s="36"/>
      <c r="G14" s="36"/>
      <c r="H14" s="36"/>
      <c r="I14" s="36"/>
      <c r="J14" s="38" t="s">
        <v>49</v>
      </c>
      <c r="K14" s="39"/>
      <c r="L14" s="39"/>
      <c r="M14" s="39"/>
      <c r="N14" s="36"/>
      <c r="O14" s="36"/>
      <c r="P14" s="36"/>
      <c r="Q14" s="36"/>
      <c r="R14" s="36"/>
      <c r="S14" s="36"/>
    </row>
    <row r="15" spans="1:19" ht="15" customHeight="1">
      <c r="A15" s="27" t="s">
        <v>81</v>
      </c>
      <c r="B15" s="28" t="s">
        <v>187</v>
      </c>
      <c r="C15" s="40" t="s">
        <v>58</v>
      </c>
      <c r="D15" s="27" t="s">
        <v>142</v>
      </c>
      <c r="E15" s="36"/>
      <c r="F15" s="36"/>
      <c r="G15" s="36"/>
      <c r="H15" s="36"/>
      <c r="I15" s="36"/>
      <c r="J15" s="51" t="s">
        <v>83</v>
      </c>
      <c r="K15" s="43"/>
      <c r="L15" s="36"/>
      <c r="M15" s="36"/>
      <c r="N15" s="36"/>
      <c r="O15" s="36"/>
      <c r="P15" s="36"/>
      <c r="Q15" s="36"/>
      <c r="R15" s="36"/>
      <c r="S15" s="36"/>
    </row>
    <row r="16" spans="1:19" ht="15" customHeight="1">
      <c r="A16" s="27" t="s">
        <v>86</v>
      </c>
      <c r="B16" s="32" t="s">
        <v>87</v>
      </c>
      <c r="C16" s="40" t="s">
        <v>58</v>
      </c>
      <c r="D16" s="27" t="s">
        <v>83</v>
      </c>
      <c r="E16" s="36"/>
      <c r="F16" s="36"/>
      <c r="G16" s="36"/>
      <c r="H16" s="36"/>
      <c r="I16" s="36"/>
      <c r="J16" s="36"/>
      <c r="K16" s="51" t="s">
        <v>83</v>
      </c>
      <c r="L16" s="43"/>
      <c r="M16" s="43"/>
      <c r="N16" s="43"/>
      <c r="O16" s="36"/>
      <c r="P16" s="36"/>
      <c r="Q16" s="36"/>
      <c r="R16" s="36"/>
      <c r="S16" s="36"/>
    </row>
    <row r="17" spans="1:19" ht="26.25" customHeight="1">
      <c r="A17" s="27" t="s">
        <v>90</v>
      </c>
      <c r="B17" s="28" t="s">
        <v>188</v>
      </c>
      <c r="C17" s="52" t="s">
        <v>189</v>
      </c>
      <c r="D17" s="27" t="s">
        <v>93</v>
      </c>
      <c r="E17" s="53" t="s">
        <v>93</v>
      </c>
      <c r="F17" s="54"/>
      <c r="G17" s="54"/>
      <c r="H17" s="54"/>
      <c r="I17" s="54"/>
      <c r="J17" s="36"/>
      <c r="K17" s="36"/>
      <c r="L17" s="36"/>
      <c r="M17" s="36"/>
      <c r="N17" s="36"/>
      <c r="O17" s="36"/>
      <c r="P17" s="36"/>
      <c r="Q17" s="36"/>
      <c r="R17" s="36"/>
      <c r="S17" s="36"/>
    </row>
    <row r="18" spans="1:19" ht="15" customHeight="1">
      <c r="A18" s="27" t="s">
        <v>96</v>
      </c>
      <c r="B18" s="28" t="s">
        <v>190</v>
      </c>
      <c r="C18" s="52" t="s">
        <v>189</v>
      </c>
      <c r="D18" s="27" t="s">
        <v>93</v>
      </c>
      <c r="E18" s="36"/>
      <c r="F18" s="36"/>
      <c r="G18" s="36"/>
      <c r="H18" s="36"/>
      <c r="I18" s="36"/>
      <c r="J18" s="36"/>
      <c r="K18" s="36"/>
      <c r="L18" s="53" t="s">
        <v>93</v>
      </c>
      <c r="M18" s="54"/>
      <c r="N18" s="54"/>
      <c r="O18" s="36"/>
      <c r="P18" s="36"/>
      <c r="Q18" s="36"/>
      <c r="R18" s="36"/>
      <c r="S18" s="36"/>
    </row>
    <row r="19" spans="1:19" ht="15" customHeight="1">
      <c r="A19" s="27" t="s">
        <v>100</v>
      </c>
      <c r="B19" s="32" t="s">
        <v>101</v>
      </c>
      <c r="C19" s="47" t="s">
        <v>71</v>
      </c>
      <c r="D19" s="27" t="s">
        <v>191</v>
      </c>
      <c r="E19" s="36"/>
      <c r="F19" s="36"/>
      <c r="G19" s="36"/>
      <c r="H19" s="36"/>
      <c r="I19" s="36"/>
      <c r="J19" s="48" t="s">
        <v>73</v>
      </c>
      <c r="K19" s="49"/>
      <c r="L19" s="49"/>
      <c r="M19" s="49"/>
      <c r="N19" s="36"/>
      <c r="O19" s="36"/>
      <c r="P19" s="36"/>
      <c r="Q19" s="36"/>
      <c r="R19" s="36"/>
      <c r="S19" s="36"/>
    </row>
    <row r="20" spans="1:19" ht="15" customHeight="1">
      <c r="A20" s="27" t="s">
        <v>104</v>
      </c>
      <c r="B20" s="28" t="s">
        <v>192</v>
      </c>
      <c r="C20" s="47" t="s">
        <v>71</v>
      </c>
      <c r="D20" s="27" t="s">
        <v>73</v>
      </c>
      <c r="E20" s="36"/>
      <c r="F20" s="36"/>
      <c r="G20" s="48" t="s">
        <v>73</v>
      </c>
      <c r="H20" s="49"/>
      <c r="I20" s="49"/>
      <c r="J20" s="48"/>
      <c r="K20" s="36"/>
      <c r="L20" s="36"/>
      <c r="M20" s="36"/>
      <c r="N20" s="36"/>
      <c r="O20" s="36"/>
      <c r="P20" s="36"/>
      <c r="Q20" s="36"/>
      <c r="R20" s="36"/>
      <c r="S20" s="36"/>
    </row>
    <row r="21" spans="1:19" ht="26.25" customHeight="1">
      <c r="A21" s="27" t="s">
        <v>108</v>
      </c>
      <c r="B21" s="32" t="s">
        <v>109</v>
      </c>
      <c r="C21" s="47" t="s">
        <v>71</v>
      </c>
      <c r="D21" s="27" t="s">
        <v>110</v>
      </c>
      <c r="E21" s="36"/>
      <c r="F21" s="36"/>
      <c r="G21" s="36"/>
      <c r="H21" s="36"/>
      <c r="I21" s="36"/>
      <c r="J21" s="36"/>
      <c r="K21" s="36"/>
      <c r="L21" s="48" t="s">
        <v>110</v>
      </c>
      <c r="M21" s="49"/>
      <c r="N21" s="49"/>
      <c r="O21" s="49"/>
      <c r="P21" s="36"/>
      <c r="Q21" s="36"/>
      <c r="R21" s="36"/>
      <c r="S21" s="36"/>
    </row>
    <row r="22" spans="1:19" ht="15" customHeight="1">
      <c r="A22" s="27" t="s">
        <v>113</v>
      </c>
      <c r="B22" s="32" t="s">
        <v>114</v>
      </c>
      <c r="C22" s="44" t="s">
        <v>64</v>
      </c>
      <c r="D22" s="27" t="s">
        <v>66</v>
      </c>
      <c r="E22" s="36"/>
      <c r="F22" s="36"/>
      <c r="G22" s="36"/>
      <c r="H22" s="36"/>
      <c r="I22" s="36"/>
      <c r="J22" s="45" t="s">
        <v>66</v>
      </c>
      <c r="K22" s="46"/>
      <c r="L22" s="46"/>
      <c r="M22" s="36"/>
      <c r="N22" s="36"/>
      <c r="O22" s="36"/>
      <c r="P22" s="36"/>
      <c r="Q22" s="36"/>
      <c r="R22" s="36"/>
      <c r="S22" s="36"/>
    </row>
    <row r="23" spans="1:19" ht="15" customHeight="1">
      <c r="A23" s="27" t="s">
        <v>117</v>
      </c>
      <c r="B23" s="28" t="s">
        <v>193</v>
      </c>
      <c r="C23" s="33" t="s">
        <v>26</v>
      </c>
      <c r="D23" s="27" t="s">
        <v>43</v>
      </c>
      <c r="E23" s="36"/>
      <c r="F23" s="36"/>
      <c r="G23" s="36"/>
      <c r="H23" s="36"/>
      <c r="I23" s="36"/>
      <c r="J23" s="36"/>
      <c r="K23" s="36"/>
      <c r="L23" s="34" t="s">
        <v>43</v>
      </c>
      <c r="M23" s="35"/>
      <c r="N23" s="35"/>
      <c r="O23" s="36"/>
      <c r="P23" s="36"/>
      <c r="Q23" s="36"/>
      <c r="R23" s="36"/>
      <c r="S23" s="36"/>
    </row>
    <row r="24" spans="1:19" ht="15" customHeight="1">
      <c r="A24" s="27" t="s">
        <v>122</v>
      </c>
      <c r="B24" s="32" t="s">
        <v>124</v>
      </c>
      <c r="C24" s="29" t="s">
        <v>17</v>
      </c>
      <c r="D24" s="27" t="s">
        <v>194</v>
      </c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55" t="s">
        <v>60</v>
      </c>
      <c r="P24" s="31"/>
      <c r="Q24" s="31"/>
      <c r="R24" s="36"/>
      <c r="S24" s="36"/>
    </row>
    <row r="25" spans="1:19" ht="26.25" customHeight="1">
      <c r="A25" s="27" t="s">
        <v>128</v>
      </c>
      <c r="B25" s="28" t="s">
        <v>195</v>
      </c>
      <c r="C25" s="29" t="s">
        <v>17</v>
      </c>
      <c r="D25" s="27" t="s">
        <v>130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0" t="s">
        <v>130</v>
      </c>
      <c r="P25" s="31"/>
      <c r="Q25" s="31"/>
      <c r="R25" s="31"/>
      <c r="S25" s="36"/>
    </row>
    <row r="26" spans="1:19" ht="15" customHeight="1">
      <c r="A26" s="27" t="s">
        <v>133</v>
      </c>
      <c r="B26" s="32" t="s">
        <v>134</v>
      </c>
      <c r="C26" s="44" t="s">
        <v>64</v>
      </c>
      <c r="D26" s="27" t="s">
        <v>135</v>
      </c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45" t="s">
        <v>135</v>
      </c>
      <c r="P26" s="46"/>
      <c r="Q26" s="46"/>
      <c r="R26" s="46"/>
      <c r="S26" s="36"/>
    </row>
    <row r="27" spans="1:19" ht="15" customHeight="1">
      <c r="A27" s="27" t="s">
        <v>139</v>
      </c>
      <c r="B27" s="32" t="s">
        <v>141</v>
      </c>
      <c r="C27" s="56" t="s">
        <v>140</v>
      </c>
      <c r="D27" s="27" t="s">
        <v>142</v>
      </c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57" t="s">
        <v>142</v>
      </c>
      <c r="P27" s="58"/>
      <c r="Q27" s="58"/>
      <c r="R27" s="36"/>
      <c r="S27" s="36"/>
    </row>
    <row r="28" spans="1:19" ht="15" customHeight="1">
      <c r="A28" s="27" t="s">
        <v>146</v>
      </c>
      <c r="B28" s="32" t="s">
        <v>147</v>
      </c>
      <c r="C28" s="56" t="s">
        <v>140</v>
      </c>
      <c r="D28" s="27" t="s">
        <v>73</v>
      </c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57" t="s">
        <v>73</v>
      </c>
      <c r="Q28" s="58"/>
      <c r="R28" s="58"/>
      <c r="S28" s="36"/>
    </row>
    <row r="29" spans="1:19" ht="15" customHeight="1">
      <c r="A29" s="27" t="s">
        <v>150</v>
      </c>
      <c r="B29" s="32" t="s">
        <v>151</v>
      </c>
      <c r="C29" s="56" t="s">
        <v>140</v>
      </c>
      <c r="D29" s="27" t="s">
        <v>152</v>
      </c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57" t="s">
        <v>152</v>
      </c>
      <c r="R29" s="58"/>
      <c r="S29" s="36"/>
    </row>
    <row r="30" spans="1:19" ht="15" customHeight="1">
      <c r="A30" s="27" t="s">
        <v>156</v>
      </c>
      <c r="B30" s="28" t="s">
        <v>196</v>
      </c>
      <c r="C30" s="59" t="s">
        <v>157</v>
      </c>
      <c r="D30" s="41" t="s">
        <v>60</v>
      </c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60" t="s">
        <v>60</v>
      </c>
      <c r="S30" s="61"/>
    </row>
    <row r="31" spans="1:19" ht="15" customHeight="1">
      <c r="A31" s="27" t="s">
        <v>162</v>
      </c>
      <c r="B31" s="32" t="s">
        <v>163</v>
      </c>
      <c r="C31" s="59" t="s">
        <v>157</v>
      </c>
      <c r="D31" s="41" t="s">
        <v>60</v>
      </c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60" t="s">
        <v>60</v>
      </c>
    </row>
  </sheetData>
  <mergeCells count="5">
    <mergeCell ref="A1:D1"/>
    <mergeCell ref="A2:D2"/>
    <mergeCell ref="E2:I2"/>
    <mergeCell ref="J2:N2"/>
    <mergeCell ref="O2:S2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zoomScaleNormal="100" workbookViewId="0">
      <selection activeCell="B9" sqref="B9"/>
    </sheetView>
  </sheetViews>
  <sheetFormatPr defaultColWidth="8.7109375" defaultRowHeight="15"/>
  <cols>
    <col min="1" max="1" width="8" customWidth="1"/>
    <col min="2" max="2" width="78.140625" customWidth="1"/>
    <col min="3" max="3" width="12" customWidth="1"/>
    <col min="4" max="4" width="52" customWidth="1"/>
  </cols>
  <sheetData>
    <row r="1" spans="1:4" ht="25.5" customHeight="1">
      <c r="A1" s="67" t="s">
        <v>197</v>
      </c>
      <c r="B1" s="67"/>
      <c r="C1" s="67"/>
      <c r="D1" s="67"/>
    </row>
    <row r="2" spans="1:4" ht="15" customHeight="1">
      <c r="A2" s="62" t="s">
        <v>198</v>
      </c>
      <c r="B2" s="62" t="s">
        <v>199</v>
      </c>
      <c r="C2" s="62" t="s">
        <v>200</v>
      </c>
      <c r="D2" s="62" t="s">
        <v>201</v>
      </c>
    </row>
    <row r="3" spans="1:4" ht="26.25" customHeight="1">
      <c r="A3" s="63" t="s">
        <v>202</v>
      </c>
      <c r="B3" s="64" t="s">
        <v>203</v>
      </c>
      <c r="C3" s="65">
        <v>11</v>
      </c>
      <c r="D3" s="28" t="s">
        <v>204</v>
      </c>
    </row>
    <row r="4" spans="1:4" ht="15" customHeight="1">
      <c r="A4" s="63" t="s">
        <v>49</v>
      </c>
      <c r="B4" s="64" t="s">
        <v>205</v>
      </c>
      <c r="C4" s="65">
        <v>9</v>
      </c>
      <c r="D4" s="28" t="s">
        <v>206</v>
      </c>
    </row>
    <row r="5" spans="1:4" ht="15" customHeight="1">
      <c r="A5" s="63" t="s">
        <v>83</v>
      </c>
      <c r="B5" s="64" t="s">
        <v>207</v>
      </c>
      <c r="C5" s="65">
        <v>8</v>
      </c>
      <c r="D5" s="28" t="s">
        <v>208</v>
      </c>
    </row>
    <row r="6" spans="1:4" ht="15" customHeight="1">
      <c r="A6" s="63" t="s">
        <v>93</v>
      </c>
      <c r="B6" s="66" t="s">
        <v>209</v>
      </c>
      <c r="C6" s="65">
        <v>9</v>
      </c>
      <c r="D6" s="28" t="s">
        <v>210</v>
      </c>
    </row>
    <row r="7" spans="1:4" ht="15" customHeight="1">
      <c r="A7" s="63" t="s">
        <v>73</v>
      </c>
      <c r="B7" s="64" t="s">
        <v>211</v>
      </c>
      <c r="C7" s="65">
        <v>11</v>
      </c>
      <c r="D7" s="28" t="s">
        <v>212</v>
      </c>
    </row>
    <row r="8" spans="1:4" ht="15" customHeight="1">
      <c r="A8" s="63" t="s">
        <v>66</v>
      </c>
      <c r="B8" s="64" t="s">
        <v>213</v>
      </c>
      <c r="C8" s="65">
        <v>10</v>
      </c>
      <c r="D8" s="28" t="s">
        <v>214</v>
      </c>
    </row>
    <row r="9" spans="1:4" ht="15" customHeight="1">
      <c r="A9" s="63" t="s">
        <v>19</v>
      </c>
      <c r="B9" s="64" t="s">
        <v>223</v>
      </c>
      <c r="C9" s="65">
        <v>11</v>
      </c>
      <c r="D9" s="28" t="s">
        <v>215</v>
      </c>
    </row>
  </sheetData>
  <mergeCells count="1">
    <mergeCell ref="A1:D1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zoomScaleNormal="100" workbookViewId="0">
      <selection activeCell="E12" sqref="E12"/>
    </sheetView>
  </sheetViews>
  <sheetFormatPr defaultColWidth="8.7109375" defaultRowHeight="15"/>
  <cols>
    <col min="1" max="1" width="14" customWidth="1"/>
  </cols>
  <sheetData>
    <row r="1" spans="1:8" ht="27.75" customHeight="1">
      <c r="A1" s="77" t="s">
        <v>216</v>
      </c>
      <c r="B1" s="77"/>
      <c r="C1" s="77"/>
      <c r="D1" s="77"/>
      <c r="E1" s="77"/>
      <c r="F1" s="77"/>
      <c r="G1" s="77"/>
      <c r="H1" s="77"/>
    </row>
    <row r="2" spans="1:8" ht="24" customHeight="1">
      <c r="A2" s="75"/>
      <c r="B2" s="75"/>
      <c r="C2" s="75"/>
      <c r="D2" s="75"/>
      <c r="E2" s="75"/>
      <c r="F2" s="75"/>
      <c r="G2" s="75"/>
      <c r="H2" s="75"/>
    </row>
    <row r="3" spans="1:8" ht="24" customHeight="1">
      <c r="A3" s="74" t="s">
        <v>217</v>
      </c>
      <c r="B3" s="74"/>
      <c r="C3" s="74"/>
      <c r="D3" s="74"/>
      <c r="E3" s="74"/>
      <c r="F3" s="74"/>
      <c r="G3" s="74"/>
      <c r="H3" s="74"/>
    </row>
    <row r="4" spans="1:8" ht="24" customHeight="1">
      <c r="A4" s="74" t="s">
        <v>218</v>
      </c>
      <c r="B4" s="74"/>
      <c r="C4" s="74"/>
      <c r="D4" s="74"/>
      <c r="E4" s="74"/>
      <c r="F4" s="74"/>
      <c r="G4" s="74"/>
      <c r="H4" s="74"/>
    </row>
    <row r="5" spans="1:8" ht="24" customHeight="1">
      <c r="A5" s="74" t="s">
        <v>219</v>
      </c>
      <c r="B5" s="74"/>
      <c r="C5" s="74"/>
      <c r="D5" s="74"/>
      <c r="E5" s="74"/>
      <c r="F5" s="74"/>
      <c r="G5" s="74"/>
      <c r="H5" s="74"/>
    </row>
    <row r="6" spans="1:8" ht="24" customHeight="1">
      <c r="A6" s="74" t="s">
        <v>220</v>
      </c>
      <c r="B6" s="74"/>
      <c r="C6" s="74"/>
      <c r="D6" s="74"/>
      <c r="E6" s="74"/>
      <c r="F6" s="74"/>
      <c r="G6" s="74"/>
      <c r="H6" s="74"/>
    </row>
    <row r="7" spans="1:8" ht="24" customHeight="1">
      <c r="A7" s="74" t="s">
        <v>221</v>
      </c>
      <c r="B7" s="74"/>
      <c r="C7" s="74"/>
      <c r="D7" s="74"/>
      <c r="E7" s="74"/>
      <c r="F7" s="74"/>
      <c r="G7" s="74"/>
      <c r="H7" s="74"/>
    </row>
    <row r="8" spans="1:8" ht="24" customHeight="1">
      <c r="A8" s="75"/>
      <c r="B8" s="75"/>
      <c r="C8" s="75"/>
      <c r="D8" s="75"/>
      <c r="E8" s="75"/>
      <c r="F8" s="75"/>
      <c r="G8" s="75"/>
      <c r="H8" s="75"/>
    </row>
    <row r="9" spans="1:8" ht="24" customHeight="1">
      <c r="A9" s="76" t="s">
        <v>222</v>
      </c>
      <c r="B9" s="76"/>
      <c r="C9" s="76"/>
      <c r="D9" s="76"/>
      <c r="E9" s="76"/>
      <c r="F9" s="76"/>
      <c r="G9" s="76"/>
      <c r="H9" s="76"/>
    </row>
  </sheetData>
  <mergeCells count="9">
    <mergeCell ref="A6:H6"/>
    <mergeCell ref="A7:H7"/>
    <mergeCell ref="A8:H8"/>
    <mergeCell ref="A9:H9"/>
    <mergeCell ref="A1:H1"/>
    <mergeCell ref="A2:H2"/>
    <mergeCell ref="A3:H3"/>
    <mergeCell ref="A4:H4"/>
    <mergeCell ref="A5:H5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工作分配總表</vt:lpstr>
      <vt:lpstr>甘特圖</vt:lpstr>
      <vt:lpstr>人力配置</vt:lpstr>
      <vt:lpstr>說明與原則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皓哲 鄒</cp:lastModifiedBy>
  <cp:revision>0</cp:revision>
  <dcterms:created xsi:type="dcterms:W3CDTF">2026-07-02T04:31:18Z</dcterms:created>
  <dcterms:modified xsi:type="dcterms:W3CDTF">2026-07-02T09:00:54Z</dcterms:modified>
  <dc:language>en-US</dc:language>
</cp:coreProperties>
</file>