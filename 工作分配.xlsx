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工作分配總表" sheetId="1" state="visible" r:id="rId1"/>
    <sheet xmlns:r="http://schemas.openxmlformats.org/officeDocument/2006/relationships" name="甘特圖" sheetId="2" state="visible" r:id="rId2"/>
    <sheet xmlns:r="http://schemas.openxmlformats.org/officeDocument/2006/relationships" name="人力配置" sheetId="3" state="visible" r:id="rId3"/>
    <sheet xmlns:r="http://schemas.openxmlformats.org/officeDocument/2006/relationships" name="說明與原則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JhengHei"/>
      <charset val="1"/>
      <family val="0"/>
      <b val="1"/>
      <color rgb="FFFFFFFF"/>
      <sz val="15"/>
    </font>
    <font>
      <name val="Noto Sans CJK SC"/>
      <family val="2"/>
      <b val="1"/>
      <color rgb="FFFFFFFF"/>
      <sz val="15"/>
    </font>
    <font>
      <name val="Noto Sans CJK SC"/>
      <family val="2"/>
      <i val="1"/>
      <color rgb="FF595959"/>
      <sz val="10"/>
    </font>
    <font>
      <name val="Microsoft JhengHei"/>
      <charset val="1"/>
      <family val="0"/>
      <i val="1"/>
      <color rgb="FF595959"/>
      <sz val="10"/>
    </font>
    <font>
      <name val="Noto Sans CJK SC"/>
      <family val="2"/>
      <b val="1"/>
      <color rgb="FFFFFFFF"/>
      <sz val="11"/>
    </font>
    <font>
      <name val="Microsoft JhengHei"/>
      <charset val="1"/>
      <family val="0"/>
      <b val="1"/>
      <color rgb="FFFFFFFF"/>
      <sz val="11"/>
    </font>
    <font>
      <name val="Microsoft JhengHei"/>
      <charset val="1"/>
      <family val="0"/>
      <b val="1"/>
      <sz val="11"/>
    </font>
    <font>
      <name val="Noto Sans CJK SC"/>
      <family val="2"/>
      <sz val="10"/>
    </font>
    <font>
      <name val="Noto Sans CJK SC"/>
      <family val="2"/>
      <b val="1"/>
      <color rgb="FFFFFFFF"/>
      <sz val="10"/>
    </font>
    <font>
      <name val="Microsoft JhengHei"/>
      <charset val="1"/>
      <family val="0"/>
      <sz val="10"/>
    </font>
    <font>
      <name val="Microsoft JhengHei"/>
      <charset val="1"/>
      <family val="0"/>
      <b val="1"/>
      <color rgb="FF000000"/>
      <sz val="11"/>
    </font>
    <font>
      <name val="Microsoft JhengHei"/>
      <charset val="1"/>
      <family val="0"/>
      <b val="1"/>
      <color rgb="FFFFFFFF"/>
      <sz val="10"/>
    </font>
    <font>
      <name val="Microsoft JhengHei"/>
      <charset val="1"/>
      <family val="0"/>
      <b val="1"/>
      <color rgb="FFC00000"/>
      <sz val="11"/>
    </font>
    <font>
      <name val="Noto Sans CJK SC"/>
      <family val="2"/>
      <b val="1"/>
      <color rgb="FFC00000"/>
      <sz val="11"/>
    </font>
    <font>
      <name val="Noto Sans CJK SC"/>
      <family val="2"/>
      <b val="1"/>
      <color rgb="FFFFFFFF"/>
      <sz val="14"/>
    </font>
    <font>
      <name val="Microsoft JhengHei"/>
      <charset val="1"/>
      <family val="0"/>
      <b val="1"/>
      <color rgb="FFFFFFFF"/>
      <sz val="14"/>
    </font>
    <font>
      <name val="Microsoft JhengHei"/>
      <charset val="1"/>
      <family val="0"/>
      <b val="1"/>
      <sz val="9"/>
    </font>
    <font>
      <name val="Microsoft JhengHei"/>
      <charset val="1"/>
      <family val="0"/>
      <sz val="9"/>
    </font>
    <font>
      <name val="Noto Sans CJK SC"/>
      <family val="2"/>
      <sz val="9"/>
    </font>
    <font>
      <name val="Noto Sans CJK SC"/>
      <family val="2"/>
      <b val="1"/>
      <color rgb="FFFFFFFF"/>
      <sz val="8"/>
    </font>
    <font>
      <name val="Microsoft JhengHei"/>
      <charset val="1"/>
      <family val="0"/>
      <b val="1"/>
      <color rgb="FFFFFFFF"/>
      <sz val="8"/>
    </font>
    <font>
      <name val="Noto Sans CJK SC"/>
      <family val="2"/>
      <b val="1"/>
      <sz val="9"/>
    </font>
    <font>
      <name val="Microsoft JhengHei"/>
      <charset val="1"/>
      <family val="0"/>
      <b val="1"/>
      <sz val="12"/>
    </font>
    <font>
      <name val="Microsoft JhengHei"/>
      <charset val="1"/>
      <family val="0"/>
      <color rgb="FF000000"/>
      <sz val="10"/>
    </font>
    <font>
      <name val="Microsoft JhengHei"/>
      <charset val="1"/>
      <family val="0"/>
      <color rgb="FF000000"/>
      <sz val="11"/>
    </font>
    <font>
      <name val="Noto Sans CJK SC"/>
      <family val="2"/>
      <color rgb="FF000000"/>
      <sz val="11"/>
    </font>
    <font>
      <name val="Noto Sans CJK SC"/>
      <family val="2"/>
      <color rgb="FF595959"/>
      <sz val="10"/>
    </font>
    <font>
      <name val="Microsoft JhengHei"/>
      <charset val="1"/>
      <family val="0"/>
      <color rgb="FF595959"/>
      <sz val="10"/>
    </font>
  </fonts>
  <fills count="18">
    <fill>
      <patternFill/>
    </fill>
    <fill>
      <patternFill patternType="gray125"/>
    </fill>
    <fill>
      <patternFill patternType="solid">
        <fgColor rgb="FF264478"/>
        <bgColor rgb="FF003366"/>
      </patternFill>
    </fill>
    <fill>
      <patternFill patternType="solid">
        <fgColor rgb="FF4472C4"/>
        <bgColor rgb="FF5B9BD5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70AD47"/>
        <bgColor rgb="FF99CC00"/>
      </patternFill>
    </fill>
    <fill>
      <patternFill patternType="solid">
        <fgColor rgb="FF26A69A"/>
        <bgColor rgb="FF33CCCC"/>
      </patternFill>
    </fill>
    <fill>
      <patternFill patternType="solid">
        <fgColor rgb="FFD6519C"/>
        <bgColor rgb="FF993366"/>
      </patternFill>
    </fill>
    <fill>
      <patternFill patternType="solid">
        <fgColor rgb="FFBF9000"/>
        <bgColor rgb="FFED7D31"/>
      </patternFill>
    </fill>
    <fill>
      <patternFill patternType="solid">
        <fgColor rgb="FFED7D31"/>
        <bgColor rgb="FFBF9000"/>
      </patternFill>
    </fill>
    <fill>
      <patternFill patternType="solid">
        <fgColor rgb="FFE2EFDA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F2F2"/>
      </patternFill>
    </fill>
    <fill>
      <patternFill patternType="solid">
        <fgColor rgb="FF808080"/>
        <bgColor rgb="FF595959"/>
      </patternFill>
    </fill>
    <fill>
      <patternFill patternType="solid">
        <fgColor rgb="FF5B9BD5"/>
        <bgColor rgb="FF4472C4"/>
      </patternFill>
    </fill>
    <fill>
      <patternFill patternType="solid">
        <fgColor rgb="FFD9E1F2"/>
        <bgColor rgb="FFDDEB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center" vertical="center"/>
    </xf>
    <xf numFmtId="0" fontId="12" fillId="15" borderId="1" applyAlignment="1" pivotButton="0" quotePrefix="0" xfId="0">
      <alignment horizontal="left" vertical="center" wrapText="1"/>
    </xf>
    <xf numFmtId="0" fontId="12" fillId="10" borderId="1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bottom"/>
    </xf>
    <xf numFmtId="0" fontId="8" fillId="16" borderId="0" applyAlignment="1" pivotButton="0" quotePrefix="0" xfId="0">
      <alignment horizontal="center" vertical="bottom"/>
    </xf>
    <xf numFmtId="0" fontId="8" fillId="7" borderId="0" applyAlignment="1" pivotButton="0" quotePrefix="0" xfId="0">
      <alignment horizontal="center" vertical="bottom"/>
    </xf>
    <xf numFmtId="0" fontId="8" fillId="11" borderId="0" applyAlignment="1" pivotButton="0" quotePrefix="0" xfId="0">
      <alignment horizontal="center" vertical="bottom"/>
    </xf>
    <xf numFmtId="0" fontId="20" fillId="17" borderId="1" applyAlignment="1" pivotButton="0" quotePrefix="0" xfId="0">
      <alignment horizontal="center" vertical="bottom"/>
    </xf>
    <xf numFmtId="0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center" vertical="center"/>
    </xf>
    <xf numFmtId="0" fontId="2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center" vertical="center"/>
    </xf>
    <xf numFmtId="0" fontId="24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3" fillId="7" borderId="1" applyAlignment="1" pivotButton="0" quotePrefix="0" xfId="0">
      <alignment horizontal="center" vertical="center"/>
    </xf>
    <xf numFmtId="0" fontId="24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general" vertical="bottom"/>
    </xf>
    <xf numFmtId="0" fontId="23" fillId="8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3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general" vertical="bottom"/>
    </xf>
    <xf numFmtId="0" fontId="23" fillId="11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general" vertical="bottom"/>
    </xf>
    <xf numFmtId="0" fontId="24" fillId="8" borderId="1" applyAlignment="1" pivotButton="0" quotePrefix="0" xfId="0">
      <alignment horizontal="left" vertical="center"/>
    </xf>
    <xf numFmtId="0" fontId="24" fillId="13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general" vertical="bottom"/>
    </xf>
    <xf numFmtId="0" fontId="23" fillId="1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left" vertical="center"/>
    </xf>
    <xf numFmtId="0" fontId="0" fillId="15" borderId="1" applyAlignment="1" pivotButton="0" quotePrefix="0" xfId="0">
      <alignment horizontal="general" vertical="bottom"/>
    </xf>
    <xf numFmtId="0" fontId="23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0" fontId="2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center" vertical="center"/>
    </xf>
    <xf numFmtId="0" fontId="12" fillId="15" borderId="1" applyAlignment="1" pivotButton="0" quotePrefix="0" xfId="0">
      <alignment horizontal="left" vertical="center" wrapText="1"/>
    </xf>
    <xf numFmtId="0" fontId="12" fillId="10" borderId="1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bottom"/>
    </xf>
    <xf numFmtId="0" fontId="8" fillId="16" borderId="0" applyAlignment="1" pivotButton="0" quotePrefix="0" xfId="0">
      <alignment horizontal="center" vertical="bottom"/>
    </xf>
    <xf numFmtId="0" fontId="8" fillId="7" borderId="0" applyAlignment="1" pivotButton="0" quotePrefix="0" xfId="0">
      <alignment horizontal="center" vertical="bottom"/>
    </xf>
    <xf numFmtId="0" fontId="8" fillId="11" borderId="0" applyAlignment="1" pivotButton="0" quotePrefix="0" xfId="0">
      <alignment horizontal="center" vertical="bottom"/>
    </xf>
    <xf numFmtId="0" fontId="20" fillId="17" borderId="1" applyAlignment="1" pivotButton="0" quotePrefix="0" xfId="0">
      <alignment horizontal="center" vertical="bottom"/>
    </xf>
    <xf numFmtId="0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center" vertical="center"/>
    </xf>
    <xf numFmtId="0" fontId="2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center" vertical="center"/>
    </xf>
    <xf numFmtId="0" fontId="24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3" fillId="7" borderId="1" applyAlignment="1" pivotButton="0" quotePrefix="0" xfId="0">
      <alignment horizontal="center" vertical="center"/>
    </xf>
    <xf numFmtId="0" fontId="24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general" vertical="bottom"/>
    </xf>
    <xf numFmtId="0" fontId="23" fillId="8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23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general" vertical="bottom"/>
    </xf>
    <xf numFmtId="0" fontId="23" fillId="11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general" vertical="bottom"/>
    </xf>
    <xf numFmtId="0" fontId="24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general" vertical="bottom"/>
    </xf>
    <xf numFmtId="0" fontId="24" fillId="13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general" vertical="bottom"/>
    </xf>
    <xf numFmtId="0" fontId="23" fillId="1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left" vertical="center"/>
    </xf>
    <xf numFmtId="0" fontId="0" fillId="15" borderId="1" applyAlignment="1" pivotButton="0" quotePrefix="0" xfId="0">
      <alignment horizontal="general" vertical="bottom"/>
    </xf>
    <xf numFmtId="0" fontId="23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0" fontId="2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2F2F2"/>
      <rgbColor rgb="FFDDEBF7"/>
      <rgbColor rgb="FF660066"/>
      <rgbColor rgb="FFD6519C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BF9000"/>
      <rgbColor rgb="FFED7D31"/>
      <rgbColor rgb="FF595959"/>
      <rgbColor rgb="FF70AD47"/>
      <rgbColor rgb="FF003366"/>
      <rgbColor rgb="FF26A69A"/>
      <rgbColor rgb="FF003300"/>
      <rgbColor rgb="FF333300"/>
      <rgbColor rgb="FF993300"/>
      <rgbColor rgb="FF993366"/>
      <rgbColor rgb="FF2644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74" min="1" max="2"/>
    <col width="15" customWidth="1" style="74" min="3" max="3"/>
    <col width="40" customWidth="1" style="74" min="4" max="4"/>
    <col width="15" customWidth="1" style="74" min="5" max="5"/>
    <col width="6" customWidth="1" style="74" min="6" max="6"/>
    <col width="8" customWidth="1" style="74" min="7" max="9"/>
    <col width="7" customWidth="1" style="74" min="10" max="10"/>
    <col width="12" customWidth="1" style="74" min="11" max="11"/>
    <col width="34" customWidth="1" style="74" min="12" max="12"/>
  </cols>
  <sheetData>
    <row r="1" ht="30" customHeight="1" s="75">
      <c r="A1" s="76" t="inlineStr">
        <is>
          <t>EventSignal MVP · 三週工作分配總表（7 人）</t>
        </is>
      </c>
    </row>
    <row r="2" ht="19.5" customHeight="1" s="75">
      <c r="A2" s="77" t="inlineStr">
        <is>
          <t>代號 A–G（G＝你：統籌/merge，不寫程式）｜高優先任務配置 2–3 人｜3 週 / D1–D15。此表為看板網頁的資料來源，修改後重新載入即可同步。</t>
        </is>
      </c>
    </row>
    <row r="3" ht="24" customHeight="1" s="75">
      <c r="A3" s="78" t="inlineStr">
        <is>
          <t>任務ID</t>
        </is>
      </c>
      <c r="B3" s="78" t="inlineStr">
        <is>
          <t>週次</t>
        </is>
      </c>
      <c r="C3" s="78" t="inlineStr">
        <is>
          <t>模組</t>
        </is>
      </c>
      <c r="D3" s="78" t="inlineStr">
        <is>
          <t>子任務</t>
        </is>
      </c>
      <c r="E3" s="78" t="inlineStr">
        <is>
          <t>負責(代號)</t>
        </is>
      </c>
      <c r="F3" s="78" t="inlineStr">
        <is>
          <t>人數</t>
        </is>
      </c>
      <c r="G3" s="78" t="inlineStr">
        <is>
          <t>優先度</t>
        </is>
      </c>
      <c r="H3" s="78" t="inlineStr">
        <is>
          <t>起始日</t>
        </is>
      </c>
      <c r="I3" s="78" t="inlineStr">
        <is>
          <t>結束日</t>
        </is>
      </c>
      <c r="J3" s="78" t="inlineStr">
        <is>
          <t>天數</t>
        </is>
      </c>
      <c r="K3" s="78" t="inlineStr">
        <is>
          <t>相依</t>
        </is>
      </c>
      <c r="L3" s="78" t="inlineStr">
        <is>
          <t>交付物</t>
        </is>
      </c>
    </row>
    <row r="4" ht="15" customHeight="1" s="75">
      <c r="A4" s="79" t="inlineStr">
        <is>
          <t>T00</t>
        </is>
      </c>
      <c r="B4" s="80" t="inlineStr">
        <is>
          <t>跨全程</t>
        </is>
      </c>
      <c r="C4" s="81" t="inlineStr">
        <is>
          <t>整合</t>
        </is>
      </c>
      <c r="D4" s="82" t="inlineStr">
        <is>
          <t>Git 進度整合 · 架構與技術細節掌握 · 必要支援</t>
        </is>
      </c>
      <c r="E4" s="83" t="inlineStr">
        <is>
          <t>G</t>
        </is>
      </c>
      <c r="F4" s="84" t="n">
        <v>1</v>
      </c>
      <c r="G4" s="85" t="inlineStr">
        <is>
          <t>高</t>
        </is>
      </c>
      <c r="H4" s="84" t="n">
        <v>1</v>
      </c>
      <c r="I4" s="84" t="n">
        <v>15</v>
      </c>
      <c r="J4" s="84">
        <f>I4-H4+1</f>
        <v/>
      </c>
      <c r="K4" s="82" t="inlineStr">
        <is>
          <t>-</t>
        </is>
      </c>
      <c r="L4" s="86" t="inlineStr">
        <is>
          <t>每週進度同步 + merge + 架構掌握</t>
        </is>
      </c>
    </row>
    <row r="5" ht="15" customHeight="1" s="75">
      <c r="A5" s="79" t="inlineStr">
        <is>
          <t>T01</t>
        </is>
      </c>
      <c r="B5" s="87" t="inlineStr">
        <is>
          <t>第一週</t>
        </is>
      </c>
      <c r="C5" s="88" t="inlineStr">
        <is>
          <t>地基/架構</t>
        </is>
      </c>
      <c r="D5" s="86" t="inlineStr">
        <is>
          <t>開發環境 + Docker Compose（db 服務先起）</t>
        </is>
      </c>
      <c r="E5" s="89" t="inlineStr">
        <is>
          <t>A·C</t>
        </is>
      </c>
      <c r="F5" s="84" t="n">
        <v>2</v>
      </c>
      <c r="G5" s="85" t="inlineStr">
        <is>
          <t>高</t>
        </is>
      </c>
      <c r="H5" s="84" t="n">
        <v>1</v>
      </c>
      <c r="I5" s="84" t="n">
        <v>3</v>
      </c>
      <c r="J5" s="84">
        <f>I5-H5+1</f>
        <v/>
      </c>
      <c r="K5" s="82" t="inlineStr">
        <is>
          <t>-</t>
        </is>
      </c>
      <c r="L5" s="82" t="inlineStr">
        <is>
          <t>docker-compose 能起 db</t>
        </is>
      </c>
    </row>
    <row r="6" ht="15" customHeight="1" s="75">
      <c r="A6" s="79" t="inlineStr">
        <is>
          <t>T02</t>
        </is>
      </c>
      <c r="B6" s="87" t="inlineStr">
        <is>
          <t>第一週</t>
        </is>
      </c>
      <c r="C6" s="88" t="inlineStr">
        <is>
          <t>地基/架構</t>
        </is>
      </c>
      <c r="D6" s="82" t="inlineStr">
        <is>
          <t>PostgreSQL + pgvector 建置 + init.sql</t>
        </is>
      </c>
      <c r="E6" s="83" t="inlineStr">
        <is>
          <t>A</t>
        </is>
      </c>
      <c r="F6" s="84" t="n">
        <v>1</v>
      </c>
      <c r="G6" s="85" t="inlineStr">
        <is>
          <t>高</t>
        </is>
      </c>
      <c r="H6" s="84" t="n">
        <v>2</v>
      </c>
      <c r="I6" s="84" t="n">
        <v>4</v>
      </c>
      <c r="J6" s="84">
        <f>I6-H6+1</f>
        <v/>
      </c>
      <c r="K6" s="82" t="inlineStr">
        <is>
          <t>T01</t>
        </is>
      </c>
      <c r="L6" s="86" t="inlineStr">
        <is>
          <t>可連線的向量資料庫</t>
        </is>
      </c>
    </row>
    <row r="7" ht="29.85" customHeight="1" s="75">
      <c r="A7" s="79" t="inlineStr">
        <is>
          <t>T03</t>
        </is>
      </c>
      <c r="B7" s="87" t="inlineStr">
        <is>
          <t>第一週</t>
        </is>
      </c>
      <c r="C7" s="88" t="inlineStr">
        <is>
          <t>地基/架構</t>
        </is>
      </c>
      <c r="D7" s="86" t="inlineStr">
        <is>
          <t>資料表 schema 設計（articles/events/chip_data）</t>
        </is>
      </c>
      <c r="E7" s="89" t="inlineStr">
        <is>
          <t>A·E</t>
        </is>
      </c>
      <c r="F7" s="84" t="n">
        <v>2</v>
      </c>
      <c r="G7" s="85" t="inlineStr">
        <is>
          <t>高</t>
        </is>
      </c>
      <c r="H7" s="84" t="n">
        <v>2</v>
      </c>
      <c r="I7" s="84" t="n">
        <v>5</v>
      </c>
      <c r="J7" s="84">
        <f>I7-H7+1</f>
        <v/>
      </c>
      <c r="K7" s="82" t="inlineStr">
        <is>
          <t>T02</t>
        </is>
      </c>
      <c r="L7" s="86" t="inlineStr">
        <is>
          <t>三張表 DDL + ORM models</t>
        </is>
      </c>
    </row>
    <row r="8" ht="15" customHeight="1" s="75">
      <c r="A8" s="79" t="inlineStr">
        <is>
          <t>T04</t>
        </is>
      </c>
      <c r="B8" s="87" t="inlineStr">
        <is>
          <t>第一週</t>
        </is>
      </c>
      <c r="C8" s="88" t="inlineStr">
        <is>
          <t>地基/架構</t>
        </is>
      </c>
      <c r="D8" s="82" t="inlineStr">
        <is>
          <t>API 契約定稿（schemas + 端點）</t>
        </is>
      </c>
      <c r="E8" s="89" t="inlineStr">
        <is>
          <t>A·F·G</t>
        </is>
      </c>
      <c r="F8" s="84" t="n">
        <v>3</v>
      </c>
      <c r="G8" s="85" t="inlineStr">
        <is>
          <t>高</t>
        </is>
      </c>
      <c r="H8" s="84" t="n">
        <v>3</v>
      </c>
      <c r="I8" s="84" t="n">
        <v>5</v>
      </c>
      <c r="J8" s="84">
        <f>I8-H8+1</f>
        <v/>
      </c>
      <c r="K8" s="82" t="inlineStr">
        <is>
          <t>-</t>
        </is>
      </c>
      <c r="L8" s="82" t="inlineStr">
        <is>
          <t>OpenAPI 契約 + Mock 回應</t>
        </is>
      </c>
    </row>
    <row r="9" ht="15" customHeight="1" s="75">
      <c r="A9" s="79" t="inlineStr">
        <is>
          <t>T05</t>
        </is>
      </c>
      <c r="B9" s="87" t="inlineStr">
        <is>
          <t>第一週</t>
        </is>
      </c>
      <c r="C9" s="90" t="inlineStr">
        <is>
          <t>資料來源/爬蟲</t>
        </is>
      </c>
      <c r="D9" s="86" t="inlineStr">
        <is>
          <t>來源研究與分級（MOPS/工商/經濟/鉅亨）</t>
        </is>
      </c>
      <c r="E9" s="83" t="inlineStr">
        <is>
          <t>B</t>
        </is>
      </c>
      <c r="F9" s="84" t="n">
        <v>1</v>
      </c>
      <c r="G9" s="85" t="inlineStr">
        <is>
          <t>高</t>
        </is>
      </c>
      <c r="H9" s="84" t="n">
        <v>1</v>
      </c>
      <c r="I9" s="84" t="n">
        <v>3</v>
      </c>
      <c r="J9" s="84">
        <f>I9-H9+1</f>
        <v/>
      </c>
      <c r="K9" s="82" t="inlineStr">
        <is>
          <t>-</t>
        </is>
      </c>
      <c r="L9" s="86" t="inlineStr">
        <is>
          <t>來源分級表 + 合規評估</t>
        </is>
      </c>
    </row>
    <row r="10" ht="15" customHeight="1" s="75">
      <c r="A10" s="79" t="inlineStr">
        <is>
          <t>T06</t>
        </is>
      </c>
      <c r="B10" s="87" t="inlineStr">
        <is>
          <t>第一週</t>
        </is>
      </c>
      <c r="C10" s="90" t="inlineStr">
        <is>
          <t>資料來源/爬蟲</t>
        </is>
      </c>
      <c r="D10" s="86" t="inlineStr">
        <is>
          <t>爬蟲清洗雛形（標準化文章物件）</t>
        </is>
      </c>
      <c r="E10" s="83" t="inlineStr">
        <is>
          <t>B</t>
        </is>
      </c>
      <c r="F10" s="84" t="n">
        <v>1</v>
      </c>
      <c r="G10" s="85" t="inlineStr">
        <is>
          <t>高</t>
        </is>
      </c>
      <c r="H10" s="84" t="n">
        <v>3</v>
      </c>
      <c r="I10" s="84" t="n">
        <v>5</v>
      </c>
      <c r="J10" s="84">
        <f>I10-H10+1</f>
        <v/>
      </c>
      <c r="K10" s="82" t="inlineStr">
        <is>
          <t>T05</t>
        </is>
      </c>
      <c r="L10" s="86" t="inlineStr">
        <is>
          <t>可跑出文章物件的爬蟲</t>
        </is>
      </c>
    </row>
    <row r="11" ht="17.15" customHeight="1" s="75">
      <c r="A11" s="79" t="inlineStr">
        <is>
          <t>T07</t>
        </is>
      </c>
      <c r="B11" s="87" t="inlineStr">
        <is>
          <t>第一週</t>
        </is>
      </c>
      <c r="C11" s="91" t="inlineStr">
        <is>
          <t>向量化/去重</t>
        </is>
      </c>
      <c r="D11" s="82" t="inlineStr">
        <is>
          <t>Embedding 技術實驗（凍結樣本，全員玩）</t>
        </is>
      </c>
      <c r="E11" s="92" t="inlineStr">
        <is>
          <t>全員</t>
        </is>
      </c>
      <c r="F11" s="84" t="n">
        <v>7</v>
      </c>
      <c r="G11" s="85" t="inlineStr">
        <is>
          <t>高</t>
        </is>
      </c>
      <c r="H11" s="84" t="n">
        <v>4</v>
      </c>
      <c r="I11" s="84" t="n">
        <v>6</v>
      </c>
      <c r="J11" s="84">
        <f>I11-H11+1</f>
        <v/>
      </c>
      <c r="K11" s="82" t="inlineStr">
        <is>
          <t>-</t>
        </is>
      </c>
      <c r="L11" s="86" t="inlineStr">
        <is>
          <t>各自實驗心得 + 凍結樣本</t>
        </is>
      </c>
    </row>
    <row r="12" ht="15" customHeight="1" s="75">
      <c r="A12" s="79" t="inlineStr">
        <is>
          <t>T08</t>
        </is>
      </c>
      <c r="B12" s="87" t="inlineStr">
        <is>
          <t>第一週</t>
        </is>
      </c>
      <c r="C12" s="93" t="inlineStr">
        <is>
          <t>前端/UX</t>
        </is>
      </c>
      <c r="D12" s="86" t="inlineStr">
        <is>
          <t>使用者旅程 + 線框圖（4 畫面）</t>
        </is>
      </c>
      <c r="E12" s="83" t="inlineStr">
        <is>
          <t>F</t>
        </is>
      </c>
      <c r="F12" s="84" t="n">
        <v>1</v>
      </c>
      <c r="G12" s="94" t="inlineStr">
        <is>
          <t>中</t>
        </is>
      </c>
      <c r="H12" s="84" t="n">
        <v>1</v>
      </c>
      <c r="I12" s="84" t="n">
        <v>4</v>
      </c>
      <c r="J12" s="84">
        <f>I12-H12+1</f>
        <v/>
      </c>
      <c r="K12" s="82" t="inlineStr">
        <is>
          <t>-</t>
        </is>
      </c>
      <c r="L12" s="82" t="inlineStr">
        <is>
          <t>3 條旅程 + wireframe</t>
        </is>
      </c>
    </row>
    <row r="13" ht="15" customHeight="1" s="75">
      <c r="A13" s="79" t="inlineStr">
        <is>
          <t>T09</t>
        </is>
      </c>
      <c r="B13" s="87" t="inlineStr">
        <is>
          <t>第一週</t>
        </is>
      </c>
      <c r="C13" s="95" t="inlineStr">
        <is>
          <t>評分/籌碼</t>
        </is>
      </c>
      <c r="D13" s="82" t="inlineStr">
        <is>
          <t>FinMind 資料源研究 + 認證測試</t>
        </is>
      </c>
      <c r="E13" s="83" t="inlineStr">
        <is>
          <t>E</t>
        </is>
      </c>
      <c r="F13" s="84" t="n">
        <v>1</v>
      </c>
      <c r="G13" s="94" t="inlineStr">
        <is>
          <t>中</t>
        </is>
      </c>
      <c r="H13" s="84" t="n">
        <v>3</v>
      </c>
      <c r="I13" s="84" t="n">
        <v>5</v>
      </c>
      <c r="J13" s="84">
        <f>I13-H13+1</f>
        <v/>
      </c>
      <c r="K13" s="82" t="inlineStr">
        <is>
          <t>-</t>
        </is>
      </c>
      <c r="L13" s="86" t="inlineStr">
        <is>
          <t>取數可行性報告</t>
        </is>
      </c>
    </row>
    <row r="14" ht="15" customHeight="1" s="75">
      <c r="A14" s="79" t="inlineStr">
        <is>
          <t>T10</t>
        </is>
      </c>
      <c r="B14" s="96" t="inlineStr">
        <is>
          <t>第二週</t>
        </is>
      </c>
      <c r="C14" s="90" t="inlineStr">
        <is>
          <t>資料來源/爬蟲</t>
        </is>
      </c>
      <c r="D14" s="86" t="inlineStr">
        <is>
          <t>爬蟲正式化 + ticker 標註 + 寫入 articles 表</t>
        </is>
      </c>
      <c r="E14" s="83" t="inlineStr">
        <is>
          <t>B</t>
        </is>
      </c>
      <c r="F14" s="84" t="n">
        <v>1</v>
      </c>
      <c r="G14" s="85" t="inlineStr">
        <is>
          <t>高</t>
        </is>
      </c>
      <c r="H14" s="84" t="n">
        <v>6</v>
      </c>
      <c r="I14" s="84" t="n">
        <v>9</v>
      </c>
      <c r="J14" s="84">
        <f>I14-H14+1</f>
        <v/>
      </c>
      <c r="K14" s="82" t="inlineStr">
        <is>
          <t>T06</t>
        </is>
      </c>
      <c r="L14" s="82" t="inlineStr">
        <is>
          <t>articles 表持續進資料</t>
        </is>
      </c>
    </row>
    <row r="15" ht="15" customHeight="1" s="75">
      <c r="A15" s="79" t="inlineStr">
        <is>
          <t>T11</t>
        </is>
      </c>
      <c r="B15" s="96" t="inlineStr">
        <is>
          <t>第二週</t>
        </is>
      </c>
      <c r="C15" s="91" t="inlineStr">
        <is>
          <t>向量化/去重</t>
        </is>
      </c>
      <c r="D15" s="82" t="inlineStr">
        <is>
          <t>Embedding 心得整合 + BGE-M3 定案</t>
        </is>
      </c>
      <c r="E15" s="89" t="inlineStr">
        <is>
          <t>C·D</t>
        </is>
      </c>
      <c r="F15" s="84" t="n">
        <v>2</v>
      </c>
      <c r="G15" s="85" t="inlineStr">
        <is>
          <t>高</t>
        </is>
      </c>
      <c r="H15" s="84" t="n">
        <v>6</v>
      </c>
      <c r="I15" s="84" t="n">
        <v>7</v>
      </c>
      <c r="J15" s="84">
        <f>I15-H15+1</f>
        <v/>
      </c>
      <c r="K15" s="82" t="inlineStr">
        <is>
          <t>T07</t>
        </is>
      </c>
      <c r="L15" s="86" t="inlineStr">
        <is>
          <t>定案參數(模型/維度/前處理/閾值)</t>
        </is>
      </c>
    </row>
    <row r="16" ht="15" customHeight="1" s="75">
      <c r="A16" s="79" t="inlineStr">
        <is>
          <t>T12</t>
        </is>
      </c>
      <c r="B16" s="96" t="inlineStr">
        <is>
          <t>第二週</t>
        </is>
      </c>
      <c r="C16" s="91" t="inlineStr">
        <is>
          <t>向量化/去重</t>
        </is>
      </c>
      <c r="D16" s="86" t="inlineStr">
        <is>
          <t>去重聚類實作（Cosine&gt;0.65 + 連通分量）</t>
        </is>
      </c>
      <c r="E16" s="83" t="inlineStr">
        <is>
          <t>C</t>
        </is>
      </c>
      <c r="F16" s="84" t="n">
        <v>1</v>
      </c>
      <c r="G16" s="85" t="inlineStr">
        <is>
          <t>高</t>
        </is>
      </c>
      <c r="H16" s="84" t="n">
        <v>7</v>
      </c>
      <c r="I16" s="84" t="n">
        <v>10</v>
      </c>
      <c r="J16" s="84">
        <f>I16-H16+1</f>
        <v/>
      </c>
      <c r="K16" s="82" t="inlineStr">
        <is>
          <t>T11</t>
        </is>
      </c>
      <c r="L16" s="86" t="inlineStr">
        <is>
          <t>多篇收斂成事件物件</t>
        </is>
      </c>
    </row>
    <row r="17" ht="29.85" customHeight="1" s="75">
      <c r="A17" s="79" t="inlineStr">
        <is>
          <t>T13</t>
        </is>
      </c>
      <c r="B17" s="96" t="inlineStr">
        <is>
          <t>第二週</t>
        </is>
      </c>
      <c r="C17" s="97" t="inlineStr">
        <is>
          <t>LLM 摘要/分類</t>
        </is>
      </c>
      <c r="D17" s="82" t="inlineStr">
        <is>
          <t>Prompt 設計（摘要 + 9類分類 + 方向，同一次）</t>
        </is>
      </c>
      <c r="E17" s="83" t="inlineStr">
        <is>
          <t>D</t>
        </is>
      </c>
      <c r="F17" s="84" t="n">
        <v>1</v>
      </c>
      <c r="G17" s="85" t="inlineStr">
        <is>
          <t>高</t>
        </is>
      </c>
      <c r="H17" s="84" t="n">
        <v>6</v>
      </c>
      <c r="I17" s="84" t="n">
        <v>9</v>
      </c>
      <c r="J17" s="84">
        <f>I17-H17+1</f>
        <v/>
      </c>
      <c r="K17" s="82" t="inlineStr">
        <is>
          <t>-</t>
        </is>
      </c>
      <c r="L17" s="86" t="inlineStr">
        <is>
          <t>可用 prompt 範本</t>
        </is>
      </c>
    </row>
    <row r="18" ht="15" customHeight="1" s="75">
      <c r="A18" s="79" t="inlineStr">
        <is>
          <t>T14</t>
        </is>
      </c>
      <c r="B18" s="96" t="inlineStr">
        <is>
          <t>第二週</t>
        </is>
      </c>
      <c r="C18" s="97" t="inlineStr">
        <is>
          <t>LLM 摘要/分類</t>
        </is>
      </c>
      <c r="D18" s="82" t="inlineStr">
        <is>
          <t>LLM 選型 + Structured Output 整合</t>
        </is>
      </c>
      <c r="E18" s="83" t="inlineStr">
        <is>
          <t>D</t>
        </is>
      </c>
      <c r="F18" s="84" t="n">
        <v>1</v>
      </c>
      <c r="G18" s="94" t="inlineStr">
        <is>
          <t>中</t>
        </is>
      </c>
      <c r="H18" s="84" t="n">
        <v>8</v>
      </c>
      <c r="I18" s="84" t="n">
        <v>10</v>
      </c>
      <c r="J18" s="84">
        <f>I18-H18+1</f>
        <v/>
      </c>
      <c r="K18" s="82" t="inlineStr">
        <is>
          <t>T13</t>
        </is>
      </c>
      <c r="L18" s="86" t="inlineStr">
        <is>
          <t>穩定 JSON 輸出模組</t>
        </is>
      </c>
    </row>
    <row r="19" ht="15" customHeight="1" s="75">
      <c r="A19" s="79" t="inlineStr">
        <is>
          <t>T15</t>
        </is>
      </c>
      <c r="B19" s="96" t="inlineStr">
        <is>
          <t>第二週</t>
        </is>
      </c>
      <c r="C19" s="95" t="inlineStr">
        <is>
          <t>評分/籌碼</t>
        </is>
      </c>
      <c r="D19" s="86" t="inlineStr">
        <is>
          <t>重要性五維評分（可拆解）</t>
        </is>
      </c>
      <c r="E19" s="89" t="inlineStr">
        <is>
          <t>E·D</t>
        </is>
      </c>
      <c r="F19" s="84" t="n">
        <v>2</v>
      </c>
      <c r="G19" s="85" t="inlineStr">
        <is>
          <t>高</t>
        </is>
      </c>
      <c r="H19" s="84" t="n">
        <v>6</v>
      </c>
      <c r="I19" s="84" t="n">
        <v>9</v>
      </c>
      <c r="J19" s="84">
        <f>I19-H19+1</f>
        <v/>
      </c>
      <c r="K19" s="82" t="inlineStr">
        <is>
          <t>T03</t>
        </is>
      </c>
      <c r="L19" s="82" t="inlineStr">
        <is>
          <t>★1-5 + 理由拆解</t>
        </is>
      </c>
    </row>
    <row r="20" ht="15" customHeight="1" s="75">
      <c r="A20" s="79" t="inlineStr">
        <is>
          <t>T16</t>
        </is>
      </c>
      <c r="B20" s="96" t="inlineStr">
        <is>
          <t>第二週</t>
        </is>
      </c>
      <c r="C20" s="95" t="inlineStr">
        <is>
          <t>評分/籌碼</t>
        </is>
      </c>
      <c r="D20" s="82" t="inlineStr">
        <is>
          <t>FinMind 每日批次 + ChipData 衍生欄位</t>
        </is>
      </c>
      <c r="E20" s="83" t="inlineStr">
        <is>
          <t>E</t>
        </is>
      </c>
      <c r="F20" s="84" t="n">
        <v>1</v>
      </c>
      <c r="G20" s="85" t="inlineStr">
        <is>
          <t>高</t>
        </is>
      </c>
      <c r="H20" s="84" t="n">
        <v>6</v>
      </c>
      <c r="I20" s="84" t="n">
        <v>9</v>
      </c>
      <c r="J20" s="84">
        <f>I20-H20+1</f>
        <v/>
      </c>
      <c r="K20" s="82" t="inlineStr">
        <is>
          <t>T09</t>
        </is>
      </c>
      <c r="L20" s="82" t="inlineStr">
        <is>
          <t>ChipData(連續天數/占均量/σ/報酬)</t>
        </is>
      </c>
    </row>
    <row r="21" ht="15" customHeight="1" s="75">
      <c r="A21" s="79" t="inlineStr">
        <is>
          <t>T17</t>
        </is>
      </c>
      <c r="B21" s="96" t="inlineStr">
        <is>
          <t>第二週</t>
        </is>
      </c>
      <c r="C21" s="95" t="inlineStr">
        <is>
          <t>評分/籌碼</t>
        </is>
      </c>
      <c r="D21" s="86" t="inlineStr">
        <is>
          <t>市場驗證分數（三訊號 + 一致性閘門 + 狀態機）</t>
        </is>
      </c>
      <c r="E21" s="89" t="inlineStr">
        <is>
          <t>E·A·D</t>
        </is>
      </c>
      <c r="F21" s="84" t="n">
        <v>3</v>
      </c>
      <c r="G21" s="85" t="inlineStr">
        <is>
          <t>高</t>
        </is>
      </c>
      <c r="H21" s="84" t="n">
        <v>8</v>
      </c>
      <c r="I21" s="84" t="n">
        <v>11</v>
      </c>
      <c r="J21" s="84">
        <f>I21-H21+1</f>
        <v/>
      </c>
      <c r="K21" s="82" t="inlineStr">
        <is>
          <t>T16</t>
        </is>
      </c>
      <c r="L21" s="82" t="inlineStr">
        <is>
          <t>0-100 分 + 可拆解 breakdown</t>
        </is>
      </c>
    </row>
    <row r="22" ht="15" customHeight="1" s="75">
      <c r="A22" s="79" t="inlineStr">
        <is>
          <t>T18</t>
        </is>
      </c>
      <c r="B22" s="96" t="inlineStr">
        <is>
          <t>第二週</t>
        </is>
      </c>
      <c r="C22" s="93" t="inlineStr">
        <is>
          <t>前端/UX</t>
        </is>
      </c>
      <c r="D22" s="86" t="inlineStr">
        <is>
          <t>前端框架初始化 + 首頁（Mock 資料）</t>
        </is>
      </c>
      <c r="E22" s="83" t="inlineStr">
        <is>
          <t>F</t>
        </is>
      </c>
      <c r="F22" s="84" t="n">
        <v>1</v>
      </c>
      <c r="G22" s="85" t="inlineStr">
        <is>
          <t>高</t>
        </is>
      </c>
      <c r="H22" s="84" t="n">
        <v>6</v>
      </c>
      <c r="I22" s="84" t="n">
        <v>10</v>
      </c>
      <c r="J22" s="84">
        <f>I22-H22+1</f>
        <v/>
      </c>
      <c r="K22" s="82" t="inlineStr">
        <is>
          <t>T04</t>
        </is>
      </c>
      <c r="L22" s="86" t="inlineStr">
        <is>
          <t>今日 5 大事件首頁</t>
        </is>
      </c>
    </row>
    <row r="23" ht="15" customHeight="1" s="75">
      <c r="A23" s="79" t="inlineStr">
        <is>
          <t>T19</t>
        </is>
      </c>
      <c r="B23" s="96" t="inlineStr">
        <is>
          <t>第二週</t>
        </is>
      </c>
      <c r="C23" s="88" t="inlineStr">
        <is>
          <t>地基/架構</t>
        </is>
      </c>
      <c r="D23" s="82" t="inlineStr">
        <is>
          <t>FastAPI 端點實作（讀 DB）</t>
        </is>
      </c>
      <c r="E23" s="83" t="inlineStr">
        <is>
          <t>A</t>
        </is>
      </c>
      <c r="F23" s="84" t="n">
        <v>1</v>
      </c>
      <c r="G23" s="85" t="inlineStr">
        <is>
          <t>高</t>
        </is>
      </c>
      <c r="H23" s="84" t="n">
        <v>8</v>
      </c>
      <c r="I23" s="84" t="n">
        <v>10</v>
      </c>
      <c r="J23" s="84">
        <f>I23-H23+1</f>
        <v/>
      </c>
      <c r="K23" s="82" t="inlineStr">
        <is>
          <t>T03,T04</t>
        </is>
      </c>
      <c r="L23" s="86" t="inlineStr">
        <is>
          <t>只讀 API 回真資料</t>
        </is>
      </c>
    </row>
    <row r="24" ht="15" customHeight="1" s="75">
      <c r="A24" s="79" t="inlineStr">
        <is>
          <t>T20</t>
        </is>
      </c>
      <c r="B24" s="98" t="inlineStr">
        <is>
          <t>第三週</t>
        </is>
      </c>
      <c r="C24" s="81" t="inlineStr">
        <is>
          <t>整合</t>
        </is>
      </c>
      <c r="D24" s="86" t="inlineStr">
        <is>
          <t>端到端串接（英雄場景：台積電法說）</t>
        </is>
      </c>
      <c r="E24" s="89" t="inlineStr">
        <is>
          <t>A·B·C·D·E·G</t>
        </is>
      </c>
      <c r="F24" s="84" t="n">
        <v>6</v>
      </c>
      <c r="G24" s="85" t="inlineStr">
        <is>
          <t>高</t>
        </is>
      </c>
      <c r="H24" s="84" t="n">
        <v>11</v>
      </c>
      <c r="I24" s="84" t="n">
        <v>13</v>
      </c>
      <c r="J24" s="84">
        <f>I24-H24+1</f>
        <v/>
      </c>
      <c r="K24" s="82" t="inlineStr">
        <is>
          <t>T12,T17,T19</t>
        </is>
      </c>
      <c r="L24" s="86" t="inlineStr">
        <is>
          <t>全程跑通一個事件</t>
        </is>
      </c>
    </row>
    <row r="25" ht="29.85" customHeight="1" s="75">
      <c r="A25" s="79" t="inlineStr">
        <is>
          <t>T21</t>
        </is>
      </c>
      <c r="B25" s="98" t="inlineStr">
        <is>
          <t>第三週</t>
        </is>
      </c>
      <c r="C25" s="81" t="inlineStr">
        <is>
          <t>整合</t>
        </is>
      </c>
      <c r="D25" s="82" t="inlineStr">
        <is>
          <t>APScheduler 排程整合（管線每輪 + 每日批次）</t>
        </is>
      </c>
      <c r="E25" s="89" t="inlineStr">
        <is>
          <t>A·E</t>
        </is>
      </c>
      <c r="F25" s="84" t="n">
        <v>2</v>
      </c>
      <c r="G25" s="85" t="inlineStr">
        <is>
          <t>高</t>
        </is>
      </c>
      <c r="H25" s="84" t="n">
        <v>11</v>
      </c>
      <c r="I25" s="84" t="n">
        <v>12</v>
      </c>
      <c r="J25" s="84">
        <f>I25-H25+1</f>
        <v/>
      </c>
      <c r="K25" s="82" t="inlineStr">
        <is>
          <t>T19</t>
        </is>
      </c>
      <c r="L25" s="86" t="inlineStr">
        <is>
          <t>自動排程跑管線</t>
        </is>
      </c>
    </row>
    <row r="26" ht="15" customHeight="1" s="75">
      <c r="A26" s="79" t="inlineStr">
        <is>
          <t>T22</t>
        </is>
      </c>
      <c r="B26" s="98" t="inlineStr">
        <is>
          <t>第三週</t>
        </is>
      </c>
      <c r="C26" s="93" t="inlineStr">
        <is>
          <t>前端/UX</t>
        </is>
      </c>
      <c r="D26" s="86" t="inlineStr">
        <is>
          <t>事件詳情頁 + 籌碼拆解 + 搜尋/時間線</t>
        </is>
      </c>
      <c r="E26" s="89" t="inlineStr">
        <is>
          <t>F·D</t>
        </is>
      </c>
      <c r="F26" s="84" t="n">
        <v>2</v>
      </c>
      <c r="G26" s="85" t="inlineStr">
        <is>
          <t>高</t>
        </is>
      </c>
      <c r="H26" s="84" t="n">
        <v>11</v>
      </c>
      <c r="I26" s="84" t="n">
        <v>14</v>
      </c>
      <c r="J26" s="84">
        <f>I26-H26+1</f>
        <v/>
      </c>
      <c r="K26" s="82" t="inlineStr">
        <is>
          <t>T18,T19</t>
        </is>
      </c>
      <c r="L26" s="86" t="inlineStr">
        <is>
          <t>完整 4 畫面串真 API</t>
        </is>
      </c>
    </row>
    <row r="27" ht="15" customHeight="1" s="75">
      <c r="A27" s="79" t="inlineStr">
        <is>
          <t>T23</t>
        </is>
      </c>
      <c r="B27" s="98" t="inlineStr">
        <is>
          <t>第三週</t>
        </is>
      </c>
      <c r="C27" s="99" t="inlineStr">
        <is>
          <t>驗證</t>
        </is>
      </c>
      <c r="D27" s="86" t="inlineStr">
        <is>
          <t>去重 F1 / 分類準確率 驗證</t>
        </is>
      </c>
      <c r="E27" s="89" t="inlineStr">
        <is>
          <t>C·D</t>
        </is>
      </c>
      <c r="F27" s="84" t="n">
        <v>2</v>
      </c>
      <c r="G27" s="94" t="inlineStr">
        <is>
          <t>中</t>
        </is>
      </c>
      <c r="H27" s="84" t="n">
        <v>11</v>
      </c>
      <c r="I27" s="84" t="n">
        <v>13</v>
      </c>
      <c r="J27" s="84">
        <f>I27-H27+1</f>
        <v/>
      </c>
      <c r="K27" s="82" t="inlineStr">
        <is>
          <t>T12,T14</t>
        </is>
      </c>
      <c r="L27" s="82" t="inlineStr">
        <is>
          <t>F1 / micro-F1 報告</t>
        </is>
      </c>
    </row>
    <row r="28" ht="15" customHeight="1" s="75">
      <c r="A28" s="79" t="inlineStr">
        <is>
          <t>T24</t>
        </is>
      </c>
      <c r="B28" s="98" t="inlineStr">
        <is>
          <t>第三週</t>
        </is>
      </c>
      <c r="C28" s="99" t="inlineStr">
        <is>
          <t>驗證</t>
        </is>
      </c>
      <c r="D28" s="86" t="inlineStr">
        <is>
          <t>評分行為合理性驗證（跨天平滑/分歧閘門）</t>
        </is>
      </c>
      <c r="E28" s="83" t="inlineStr">
        <is>
          <t>E</t>
        </is>
      </c>
      <c r="F28" s="84" t="n">
        <v>1</v>
      </c>
      <c r="G28" s="94" t="inlineStr">
        <is>
          <t>中</t>
        </is>
      </c>
      <c r="H28" s="84" t="n">
        <v>12</v>
      </c>
      <c r="I28" s="84" t="n">
        <v>14</v>
      </c>
      <c r="J28" s="84">
        <f>I28-H28+1</f>
        <v/>
      </c>
      <c r="K28" s="82" t="inlineStr">
        <is>
          <t>T17</t>
        </is>
      </c>
      <c r="L28" s="86" t="inlineStr">
        <is>
          <t>驗證報告</t>
        </is>
      </c>
    </row>
    <row r="29" ht="15" customHeight="1" s="75">
      <c r="A29" s="79" t="inlineStr">
        <is>
          <t>T25</t>
        </is>
      </c>
      <c r="B29" s="98" t="inlineStr">
        <is>
          <t>第三週</t>
        </is>
      </c>
      <c r="C29" s="99" t="inlineStr">
        <is>
          <t>驗證</t>
        </is>
      </c>
      <c r="D29" s="86" t="inlineStr">
        <is>
          <t>全套 Docker Compose up 整合測試</t>
        </is>
      </c>
      <c r="E29" s="89" t="inlineStr">
        <is>
          <t>A·B·G</t>
        </is>
      </c>
      <c r="F29" s="84" t="n">
        <v>3</v>
      </c>
      <c r="G29" s="85" t="inlineStr">
        <is>
          <t>高</t>
        </is>
      </c>
      <c r="H29" s="84" t="n">
        <v>13</v>
      </c>
      <c r="I29" s="84" t="n">
        <v>14</v>
      </c>
      <c r="J29" s="84">
        <f>I29-H29+1</f>
        <v/>
      </c>
      <c r="K29" s="82" t="inlineStr">
        <is>
          <t>T20,T21</t>
        </is>
      </c>
      <c r="L29" s="86" t="inlineStr">
        <is>
          <t>一行 up 全套跑起來</t>
        </is>
      </c>
    </row>
    <row r="30" ht="17.15" customHeight="1" s="75">
      <c r="A30" s="79" t="inlineStr">
        <is>
          <t>T26</t>
        </is>
      </c>
      <c r="B30" s="98" t="inlineStr">
        <is>
          <t>第三週</t>
        </is>
      </c>
      <c r="C30" s="100" t="inlineStr">
        <is>
          <t>收尾</t>
        </is>
      </c>
      <c r="D30" s="82" t="inlineStr">
        <is>
          <t>Demo 準備 + 文件整理</t>
        </is>
      </c>
      <c r="E30" s="92" t="inlineStr">
        <is>
          <t>全員</t>
        </is>
      </c>
      <c r="F30" s="84" t="n">
        <v>7</v>
      </c>
      <c r="G30" s="85" t="inlineStr">
        <is>
          <t>高</t>
        </is>
      </c>
      <c r="H30" s="84" t="n">
        <v>14</v>
      </c>
      <c r="I30" s="84" t="n">
        <v>15</v>
      </c>
      <c r="J30" s="84">
        <f>I30-H30+1</f>
        <v/>
      </c>
      <c r="K30" s="82" t="inlineStr">
        <is>
          <t>T22,T25</t>
        </is>
      </c>
      <c r="L30" s="82" t="inlineStr">
        <is>
          <t>Demo 流程 + 文件</t>
        </is>
      </c>
    </row>
    <row r="31" ht="17.15" customHeight="1" s="75">
      <c r="A31" s="79" t="inlineStr">
        <is>
          <t>T27</t>
        </is>
      </c>
      <c r="B31" s="98" t="inlineStr">
        <is>
          <t>第三週</t>
        </is>
      </c>
      <c r="C31" s="100" t="inlineStr">
        <is>
          <t>收尾</t>
        </is>
      </c>
      <c r="D31" s="86" t="inlineStr">
        <is>
          <t>緩衝 / Bug 修復</t>
        </is>
      </c>
      <c r="E31" s="92" t="inlineStr">
        <is>
          <t>全員</t>
        </is>
      </c>
      <c r="F31" s="84" t="n">
        <v>7</v>
      </c>
      <c r="G31" s="94" t="inlineStr">
        <is>
          <t>中</t>
        </is>
      </c>
      <c r="H31" s="84" t="n">
        <v>15</v>
      </c>
      <c r="I31" s="84" t="n">
        <v>15</v>
      </c>
      <c r="J31" s="84">
        <f>I31-H31+1</f>
        <v/>
      </c>
      <c r="K31" s="82" t="inlineStr">
        <is>
          <t>-</t>
        </is>
      </c>
      <c r="L31" s="82" t="inlineStr">
        <is>
          <t>-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7" customWidth="1" style="74" min="1" max="1"/>
    <col width="34" customWidth="1" style="74" min="2" max="2"/>
    <col width="14" customWidth="1" style="74" min="3" max="3"/>
    <col width="9" customWidth="1" style="74" min="4" max="4"/>
    <col width="5.51" customWidth="1" style="74" min="5" max="19"/>
  </cols>
  <sheetData>
    <row r="1" ht="25.5" customHeight="1" s="75">
      <c r="A1" s="101" t="inlineStr">
        <is>
          <t>甘特圖（D1–D15）</t>
        </is>
      </c>
    </row>
    <row r="2" ht="15" customHeight="1" s="75">
      <c r="A2" s="102" t="inlineStr">
        <is>
          <t>任務</t>
        </is>
      </c>
      <c r="E2" s="103" t="inlineStr">
        <is>
          <t>第一週</t>
        </is>
      </c>
      <c r="J2" s="104" t="inlineStr">
        <is>
          <t>第二週</t>
        </is>
      </c>
      <c r="O2" s="105" t="inlineStr">
        <is>
          <t>第三週</t>
        </is>
      </c>
    </row>
    <row r="3" ht="17.15" customHeight="1" s="75">
      <c r="A3" s="78" t="inlineStr">
        <is>
          <t>任務ID</t>
        </is>
      </c>
      <c r="B3" s="78" t="inlineStr">
        <is>
          <t>子任務</t>
        </is>
      </c>
      <c r="C3" s="78" t="inlineStr">
        <is>
          <t>模組</t>
        </is>
      </c>
      <c r="D3" s="78" t="inlineStr">
        <is>
          <t>負責</t>
        </is>
      </c>
      <c r="E3" s="106" t="inlineStr">
        <is>
          <t>D1</t>
        </is>
      </c>
      <c r="F3" s="106" t="inlineStr">
        <is>
          <t>D2</t>
        </is>
      </c>
      <c r="G3" s="106" t="inlineStr">
        <is>
          <t>D3</t>
        </is>
      </c>
      <c r="H3" s="106" t="inlineStr">
        <is>
          <t>D4</t>
        </is>
      </c>
      <c r="I3" s="106" t="inlineStr">
        <is>
          <t>D5</t>
        </is>
      </c>
      <c r="J3" s="106" t="inlineStr">
        <is>
          <t>D6</t>
        </is>
      </c>
      <c r="K3" s="106" t="inlineStr">
        <is>
          <t>D7</t>
        </is>
      </c>
      <c r="L3" s="106" t="inlineStr">
        <is>
          <t>D8</t>
        </is>
      </c>
      <c r="M3" s="106" t="inlineStr">
        <is>
          <t>D9</t>
        </is>
      </c>
      <c r="N3" s="106" t="inlineStr">
        <is>
          <t>D10</t>
        </is>
      </c>
      <c r="O3" s="106" t="inlineStr">
        <is>
          <t>D11</t>
        </is>
      </c>
      <c r="P3" s="106" t="inlineStr">
        <is>
          <t>D12</t>
        </is>
      </c>
      <c r="Q3" s="106" t="inlineStr">
        <is>
          <t>D13</t>
        </is>
      </c>
      <c r="R3" s="106" t="inlineStr">
        <is>
          <t>D14</t>
        </is>
      </c>
      <c r="S3" s="106" t="inlineStr">
        <is>
          <t>D15</t>
        </is>
      </c>
    </row>
    <row r="4" ht="26.85" customHeight="1" s="75">
      <c r="A4" s="107" t="inlineStr">
        <is>
          <t>T00</t>
        </is>
      </c>
      <c r="B4" s="108" t="inlineStr">
        <is>
          <t>Git 進度整合 · 架構與技術細節掌握 · 必要支援</t>
        </is>
      </c>
      <c r="C4" s="109" t="inlineStr">
        <is>
          <t>整合</t>
        </is>
      </c>
      <c r="D4" s="107" t="inlineStr">
        <is>
          <t>G</t>
        </is>
      </c>
      <c r="E4" s="110" t="inlineStr">
        <is>
          <t>G</t>
        </is>
      </c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  <c r="P4" s="111" t="n"/>
      <c r="Q4" s="111" t="n"/>
      <c r="R4" s="111" t="n"/>
      <c r="S4" s="111" t="n"/>
    </row>
    <row r="5" ht="26.85" customHeight="1" s="75">
      <c r="A5" s="107" t="inlineStr">
        <is>
          <t>T01</t>
        </is>
      </c>
      <c r="B5" s="112" t="inlineStr">
        <is>
          <t>開發環境 + Docker Compose（db 服務先起）</t>
        </is>
      </c>
      <c r="C5" s="113" t="inlineStr">
        <is>
          <t>地基/架構</t>
        </is>
      </c>
      <c r="D5" s="107" t="inlineStr">
        <is>
          <t>A·C</t>
        </is>
      </c>
      <c r="E5" s="114" t="inlineStr">
        <is>
          <t>A·C</t>
        </is>
      </c>
      <c r="F5" s="115" t="n"/>
      <c r="G5" s="115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</row>
    <row r="6" ht="15" customHeight="1" s="75">
      <c r="A6" s="107" t="inlineStr">
        <is>
          <t>T02</t>
        </is>
      </c>
      <c r="B6" s="108" t="inlineStr">
        <is>
          <t>PostgreSQL + pgvector 建置 + init.sql</t>
        </is>
      </c>
      <c r="C6" s="113" t="inlineStr">
        <is>
          <t>地基/架構</t>
        </is>
      </c>
      <c r="D6" s="107" t="inlineStr">
        <is>
          <t>A</t>
        </is>
      </c>
      <c r="E6" s="116" t="n"/>
      <c r="F6" s="114" t="inlineStr">
        <is>
          <t>A</t>
        </is>
      </c>
      <c r="G6" s="115" t="n"/>
      <c r="H6" s="115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</row>
    <row r="7" ht="26.85" customHeight="1" s="75">
      <c r="A7" s="107" t="inlineStr">
        <is>
          <t>T03</t>
        </is>
      </c>
      <c r="B7" s="112" t="inlineStr">
        <is>
          <t>資料表 schema 設計（articles/events/chip_data）</t>
        </is>
      </c>
      <c r="C7" s="113" t="inlineStr">
        <is>
          <t>地基/架構</t>
        </is>
      </c>
      <c r="D7" s="107" t="inlineStr">
        <is>
          <t>A·E</t>
        </is>
      </c>
      <c r="E7" s="116" t="n"/>
      <c r="F7" s="114" t="inlineStr">
        <is>
          <t>A·E</t>
        </is>
      </c>
      <c r="G7" s="115" t="n"/>
      <c r="H7" s="115" t="n"/>
      <c r="I7" s="115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</row>
    <row r="8" ht="15" customHeight="1" s="75">
      <c r="A8" s="107" t="inlineStr">
        <is>
          <t>T04</t>
        </is>
      </c>
      <c r="B8" s="108" t="inlineStr">
        <is>
          <t>API 契約定稿（schemas + 端點）</t>
        </is>
      </c>
      <c r="C8" s="113" t="inlineStr">
        <is>
          <t>地基/架構</t>
        </is>
      </c>
      <c r="D8" s="107" t="inlineStr">
        <is>
          <t>A·F·G</t>
        </is>
      </c>
      <c r="E8" s="116" t="n"/>
      <c r="F8" s="116" t="n"/>
      <c r="G8" s="114" t="inlineStr">
        <is>
          <t>A·F·G</t>
        </is>
      </c>
      <c r="H8" s="115" t="n"/>
      <c r="I8" s="115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</row>
    <row r="9" ht="15" customHeight="1" s="75">
      <c r="A9" s="107" t="inlineStr">
        <is>
          <t>T05</t>
        </is>
      </c>
      <c r="B9" s="112" t="inlineStr">
        <is>
          <t>來源研究與分級（MOPS/工商/經濟/鉅亨）</t>
        </is>
      </c>
      <c r="C9" s="117" t="inlineStr">
        <is>
          <t>資料來源/爬蟲</t>
        </is>
      </c>
      <c r="D9" s="107" t="inlineStr">
        <is>
          <t>B</t>
        </is>
      </c>
      <c r="E9" s="118" t="inlineStr">
        <is>
          <t>B</t>
        </is>
      </c>
      <c r="F9" s="119" t="n"/>
      <c r="G9" s="119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</row>
    <row r="10" ht="15" customHeight="1" s="75">
      <c r="A10" s="107" t="inlineStr">
        <is>
          <t>T06</t>
        </is>
      </c>
      <c r="B10" s="112" t="inlineStr">
        <is>
          <t>爬蟲清洗雛形（標準化文章物件）</t>
        </is>
      </c>
      <c r="C10" s="117" t="inlineStr">
        <is>
          <t>資料來源/爬蟲</t>
        </is>
      </c>
      <c r="D10" s="107" t="inlineStr">
        <is>
          <t>B</t>
        </is>
      </c>
      <c r="E10" s="116" t="n"/>
      <c r="F10" s="116" t="n"/>
      <c r="G10" s="118" t="inlineStr">
        <is>
          <t>B</t>
        </is>
      </c>
      <c r="H10" s="119" t="n"/>
      <c r="I10" s="119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</row>
    <row r="11" ht="15" customHeight="1" s="75">
      <c r="A11" s="107" t="inlineStr">
        <is>
          <t>T07</t>
        </is>
      </c>
      <c r="B11" s="108" t="inlineStr">
        <is>
          <t>Embedding 技術實驗（凍結樣本，全員玩）</t>
        </is>
      </c>
      <c r="C11" s="120" t="inlineStr">
        <is>
          <t>向量化/去重</t>
        </is>
      </c>
      <c r="D11" s="121" t="inlineStr">
        <is>
          <t>全員</t>
        </is>
      </c>
      <c r="E11" s="122" t="n"/>
      <c r="F11" s="122" t="n"/>
      <c r="G11" s="122" t="n"/>
      <c r="H11" s="123" t="inlineStr">
        <is>
          <t>全員</t>
        </is>
      </c>
      <c r="I11" s="124" t="n"/>
      <c r="J11" s="124" t="n"/>
      <c r="K11" s="122" t="n"/>
      <c r="L11" s="116" t="n"/>
      <c r="M11" s="116" t="n"/>
      <c r="N11" s="116" t="n"/>
      <c r="O11" s="116" t="n"/>
      <c r="P11" s="116" t="n"/>
      <c r="Q11" s="116" t="n"/>
      <c r="R11" s="116" t="n"/>
      <c r="S11" s="116" t="n"/>
    </row>
    <row r="12" ht="15" customHeight="1" s="75">
      <c r="A12" s="107" t="inlineStr">
        <is>
          <t>T08</t>
        </is>
      </c>
      <c r="B12" s="112" t="inlineStr">
        <is>
          <t>使用者旅程 + 線框圖（4 畫面）</t>
        </is>
      </c>
      <c r="C12" s="125" t="inlineStr">
        <is>
          <t>前端/UX</t>
        </is>
      </c>
      <c r="D12" s="107" t="inlineStr">
        <is>
          <t>F</t>
        </is>
      </c>
      <c r="E12" s="126" t="inlineStr">
        <is>
          <t>F</t>
        </is>
      </c>
      <c r="F12" s="127" t="n"/>
      <c r="G12" s="127" t="n"/>
      <c r="H12" s="127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</row>
    <row r="13" ht="15" customHeight="1" s="75">
      <c r="A13" s="107" t="inlineStr">
        <is>
          <t>T09</t>
        </is>
      </c>
      <c r="B13" s="108" t="inlineStr">
        <is>
          <t>FinMind 資料源研究 + 認證測試</t>
        </is>
      </c>
      <c r="C13" s="128" t="inlineStr">
        <is>
          <t>評分/籌碼</t>
        </is>
      </c>
      <c r="D13" s="107" t="inlineStr">
        <is>
          <t>E</t>
        </is>
      </c>
      <c r="E13" s="116" t="n"/>
      <c r="F13" s="116" t="n"/>
      <c r="G13" s="129" t="inlineStr">
        <is>
          <t>E</t>
        </is>
      </c>
      <c r="H13" s="130" t="n"/>
      <c r="I13" s="130" t="n"/>
      <c r="J13" s="116" t="n"/>
      <c r="K13" s="116" t="n"/>
      <c r="L13" s="116" t="n"/>
      <c r="M13" s="116" t="n"/>
      <c r="N13" s="116" t="n"/>
      <c r="O13" s="116" t="n"/>
      <c r="P13" s="116" t="n"/>
      <c r="Q13" s="116" t="n"/>
      <c r="R13" s="116" t="n"/>
      <c r="S13" s="116" t="n"/>
    </row>
    <row r="14" ht="26.85" customHeight="1" s="75">
      <c r="A14" s="107" t="inlineStr">
        <is>
          <t>T10</t>
        </is>
      </c>
      <c r="B14" s="112" t="inlineStr">
        <is>
          <t>爬蟲正式化 + ticker 標註 + 寫入 articles 表</t>
        </is>
      </c>
      <c r="C14" s="117" t="inlineStr">
        <is>
          <t>資料來源/爬蟲</t>
        </is>
      </c>
      <c r="D14" s="107" t="inlineStr">
        <is>
          <t>B</t>
        </is>
      </c>
      <c r="E14" s="116" t="n"/>
      <c r="F14" s="116" t="n"/>
      <c r="G14" s="116" t="n"/>
      <c r="H14" s="116" t="n"/>
      <c r="I14" s="116" t="n"/>
      <c r="J14" s="118" t="inlineStr">
        <is>
          <t>B</t>
        </is>
      </c>
      <c r="K14" s="119" t="n"/>
      <c r="L14" s="119" t="n"/>
      <c r="M14" s="119" t="n"/>
      <c r="N14" s="116" t="n"/>
      <c r="O14" s="116" t="n"/>
      <c r="P14" s="116" t="n"/>
      <c r="Q14" s="116" t="n"/>
      <c r="R14" s="116" t="n"/>
      <c r="S14" s="116" t="n"/>
    </row>
    <row r="15" ht="15" customHeight="1" s="75">
      <c r="A15" s="107" t="inlineStr">
        <is>
          <t>T11</t>
        </is>
      </c>
      <c r="B15" s="108" t="inlineStr">
        <is>
          <t>Embedding 心得整合 + BGE-M3 定案</t>
        </is>
      </c>
      <c r="C15" s="120" t="inlineStr">
        <is>
          <t>向量化/去重</t>
        </is>
      </c>
      <c r="D15" s="107" t="inlineStr">
        <is>
          <t>C·D</t>
        </is>
      </c>
      <c r="E15" s="116" t="n"/>
      <c r="F15" s="116" t="n"/>
      <c r="G15" s="116" t="n"/>
      <c r="H15" s="116" t="n"/>
      <c r="I15" s="116" t="n"/>
      <c r="J15" s="131" t="inlineStr">
        <is>
          <t>C·D</t>
        </is>
      </c>
      <c r="K15" s="132" t="n"/>
      <c r="L15" s="116" t="n"/>
      <c r="M15" s="116" t="n"/>
      <c r="N15" s="116" t="n"/>
      <c r="O15" s="116" t="n"/>
      <c r="P15" s="116" t="n"/>
      <c r="Q15" s="116" t="n"/>
      <c r="R15" s="116" t="n"/>
      <c r="S15" s="116" t="n"/>
    </row>
    <row r="16" ht="15" customHeight="1" s="75">
      <c r="A16" s="107" t="inlineStr">
        <is>
          <t>T12</t>
        </is>
      </c>
      <c r="B16" s="112" t="inlineStr">
        <is>
          <t>去重聚類實作（Cosine&gt;0.65 + 連通分量）</t>
        </is>
      </c>
      <c r="C16" s="120" t="inlineStr">
        <is>
          <t>向量化/去重</t>
        </is>
      </c>
      <c r="D16" s="107" t="inlineStr">
        <is>
          <t>C</t>
        </is>
      </c>
      <c r="E16" s="116" t="n"/>
      <c r="F16" s="116" t="n"/>
      <c r="G16" s="116" t="n"/>
      <c r="H16" s="116" t="n"/>
      <c r="I16" s="116" t="n"/>
      <c r="J16" s="116" t="n"/>
      <c r="K16" s="131" t="inlineStr">
        <is>
          <t>C</t>
        </is>
      </c>
      <c r="L16" s="132" t="n"/>
      <c r="M16" s="132" t="n"/>
      <c r="N16" s="132" t="n"/>
      <c r="O16" s="116" t="n"/>
      <c r="P16" s="116" t="n"/>
      <c r="Q16" s="116" t="n"/>
      <c r="R16" s="116" t="n"/>
      <c r="S16" s="116" t="n"/>
    </row>
    <row r="17" ht="26.85" customHeight="1" s="75">
      <c r="A17" s="107" t="inlineStr">
        <is>
          <t>T13</t>
        </is>
      </c>
      <c r="B17" s="108" t="inlineStr">
        <is>
          <t>Prompt 設計（摘要 + 9類分類 + 方向，同一次）</t>
        </is>
      </c>
      <c r="C17" s="133" t="inlineStr">
        <is>
          <t>LLM 摘要/分類</t>
        </is>
      </c>
      <c r="D17" s="107" t="inlineStr">
        <is>
          <t>D</t>
        </is>
      </c>
      <c r="E17" s="116" t="n"/>
      <c r="F17" s="116" t="n"/>
      <c r="G17" s="116" t="n"/>
      <c r="H17" s="116" t="n"/>
      <c r="I17" s="116" t="n"/>
      <c r="J17" s="134" t="inlineStr">
        <is>
          <t>D</t>
        </is>
      </c>
      <c r="K17" s="135" t="n"/>
      <c r="L17" s="135" t="n"/>
      <c r="M17" s="135" t="n"/>
      <c r="N17" s="116" t="n"/>
      <c r="O17" s="116" t="n"/>
      <c r="P17" s="116" t="n"/>
      <c r="Q17" s="116" t="n"/>
      <c r="R17" s="116" t="n"/>
      <c r="S17" s="116" t="n"/>
    </row>
    <row r="18" ht="15" customHeight="1" s="75">
      <c r="A18" s="107" t="inlineStr">
        <is>
          <t>T14</t>
        </is>
      </c>
      <c r="B18" s="108" t="inlineStr">
        <is>
          <t>LLM 選型 + Structured Output 整合</t>
        </is>
      </c>
      <c r="C18" s="133" t="inlineStr">
        <is>
          <t>LLM 摘要/分類</t>
        </is>
      </c>
      <c r="D18" s="107" t="inlineStr">
        <is>
          <t>D</t>
        </is>
      </c>
      <c r="E18" s="116" t="n"/>
      <c r="F18" s="116" t="n"/>
      <c r="G18" s="116" t="n"/>
      <c r="H18" s="116" t="n"/>
      <c r="I18" s="116" t="n"/>
      <c r="J18" s="116" t="n"/>
      <c r="K18" s="116" t="n"/>
      <c r="L18" s="134" t="inlineStr">
        <is>
          <t>D</t>
        </is>
      </c>
      <c r="M18" s="135" t="n"/>
      <c r="N18" s="135" t="n"/>
      <c r="O18" s="116" t="n"/>
      <c r="P18" s="116" t="n"/>
      <c r="Q18" s="116" t="n"/>
      <c r="R18" s="116" t="n"/>
      <c r="S18" s="116" t="n"/>
    </row>
    <row r="19" ht="15" customHeight="1" s="75">
      <c r="A19" s="107" t="inlineStr">
        <is>
          <t>T15</t>
        </is>
      </c>
      <c r="B19" s="112" t="inlineStr">
        <is>
          <t>重要性五維評分（可拆解）</t>
        </is>
      </c>
      <c r="C19" s="128" t="inlineStr">
        <is>
          <t>評分/籌碼</t>
        </is>
      </c>
      <c r="D19" s="107" t="inlineStr">
        <is>
          <t>E·D</t>
        </is>
      </c>
      <c r="E19" s="116" t="n"/>
      <c r="F19" s="116" t="n"/>
      <c r="G19" s="116" t="n"/>
      <c r="H19" s="116" t="n"/>
      <c r="I19" s="116" t="n"/>
      <c r="J19" s="129" t="inlineStr">
        <is>
          <t>E·D</t>
        </is>
      </c>
      <c r="K19" s="130" t="n"/>
      <c r="L19" s="130" t="n"/>
      <c r="M19" s="130" t="n"/>
      <c r="N19" s="116" t="n"/>
      <c r="O19" s="116" t="n"/>
      <c r="P19" s="116" t="n"/>
      <c r="Q19" s="116" t="n"/>
      <c r="R19" s="116" t="n"/>
      <c r="S19" s="116" t="n"/>
    </row>
    <row r="20" ht="15" customHeight="1" s="75">
      <c r="A20" s="107" t="inlineStr">
        <is>
          <t>T16</t>
        </is>
      </c>
      <c r="B20" s="108" t="inlineStr">
        <is>
          <t>FinMind 每日批次 + ChipData 衍生欄位</t>
        </is>
      </c>
      <c r="C20" s="128" t="inlineStr">
        <is>
          <t>評分/籌碼</t>
        </is>
      </c>
      <c r="D20" s="107" t="inlineStr">
        <is>
          <t>E</t>
        </is>
      </c>
      <c r="E20" s="116" t="n"/>
      <c r="F20" s="116" t="n"/>
      <c r="G20" s="116" t="n"/>
      <c r="H20" s="116" t="n"/>
      <c r="I20" s="116" t="n"/>
      <c r="J20" s="129" t="inlineStr">
        <is>
          <t>E</t>
        </is>
      </c>
      <c r="K20" s="130" t="n"/>
      <c r="L20" s="130" t="n"/>
      <c r="M20" s="130" t="n"/>
      <c r="N20" s="116" t="n"/>
      <c r="O20" s="116" t="n"/>
      <c r="P20" s="116" t="n"/>
      <c r="Q20" s="116" t="n"/>
      <c r="R20" s="116" t="n"/>
      <c r="S20" s="116" t="n"/>
    </row>
    <row r="21" ht="26.85" customHeight="1" s="75">
      <c r="A21" s="107" t="inlineStr">
        <is>
          <t>T17</t>
        </is>
      </c>
      <c r="B21" s="112" t="inlineStr">
        <is>
          <t>市場驗證分數（三訊號 + 一致性閘門 + 狀態機）</t>
        </is>
      </c>
      <c r="C21" s="128" t="inlineStr">
        <is>
          <t>評分/籌碼</t>
        </is>
      </c>
      <c r="D21" s="107" t="inlineStr">
        <is>
          <t>E·A·D</t>
        </is>
      </c>
      <c r="E21" s="116" t="n"/>
      <c r="F21" s="116" t="n"/>
      <c r="G21" s="116" t="n"/>
      <c r="H21" s="116" t="n"/>
      <c r="I21" s="116" t="n"/>
      <c r="J21" s="116" t="n"/>
      <c r="K21" s="116" t="n"/>
      <c r="L21" s="129" t="inlineStr">
        <is>
          <t>E·A·D</t>
        </is>
      </c>
      <c r="M21" s="130" t="n"/>
      <c r="N21" s="130" t="n"/>
      <c r="O21" s="130" t="n"/>
      <c r="P21" s="116" t="n"/>
      <c r="Q21" s="116" t="n"/>
      <c r="R21" s="116" t="n"/>
      <c r="S21" s="116" t="n"/>
    </row>
    <row r="22" ht="15" customHeight="1" s="75">
      <c r="A22" s="107" t="inlineStr">
        <is>
          <t>T18</t>
        </is>
      </c>
      <c r="B22" s="112" t="inlineStr">
        <is>
          <t>前端框架初始化 + 首頁（Mock 資料）</t>
        </is>
      </c>
      <c r="C22" s="125" t="inlineStr">
        <is>
          <t>前端/UX</t>
        </is>
      </c>
      <c r="D22" s="107" t="inlineStr">
        <is>
          <t>F</t>
        </is>
      </c>
      <c r="E22" s="116" t="n"/>
      <c r="F22" s="116" t="n"/>
      <c r="G22" s="116" t="n"/>
      <c r="H22" s="116" t="n"/>
      <c r="I22" s="116" t="n"/>
      <c r="J22" s="126" t="inlineStr">
        <is>
          <t>F</t>
        </is>
      </c>
      <c r="K22" s="127" t="n"/>
      <c r="L22" s="127" t="n"/>
      <c r="M22" s="127" t="n"/>
      <c r="N22" s="127" t="n"/>
      <c r="O22" s="116" t="n"/>
      <c r="P22" s="116" t="n"/>
      <c r="Q22" s="116" t="n"/>
      <c r="R22" s="116" t="n"/>
      <c r="S22" s="116" t="n"/>
    </row>
    <row r="23" ht="15" customHeight="1" s="75">
      <c r="A23" s="107" t="inlineStr">
        <is>
          <t>T19</t>
        </is>
      </c>
      <c r="B23" s="108" t="inlineStr">
        <is>
          <t>FastAPI 端點實作（讀 DB）</t>
        </is>
      </c>
      <c r="C23" s="113" t="inlineStr">
        <is>
          <t>地基/架構</t>
        </is>
      </c>
      <c r="D23" s="107" t="inlineStr">
        <is>
          <t>A</t>
        </is>
      </c>
      <c r="E23" s="116" t="n"/>
      <c r="F23" s="116" t="n"/>
      <c r="G23" s="116" t="n"/>
      <c r="H23" s="116" t="n"/>
      <c r="I23" s="116" t="n"/>
      <c r="J23" s="116" t="n"/>
      <c r="K23" s="116" t="n"/>
      <c r="L23" s="114" t="inlineStr">
        <is>
          <t>A</t>
        </is>
      </c>
      <c r="M23" s="115" t="n"/>
      <c r="N23" s="115" t="n"/>
      <c r="O23" s="116" t="n"/>
      <c r="P23" s="116" t="n"/>
      <c r="Q23" s="116" t="n"/>
      <c r="R23" s="116" t="n"/>
      <c r="S23" s="116" t="n"/>
    </row>
    <row r="24" ht="15" customHeight="1" s="75">
      <c r="A24" s="107" t="inlineStr">
        <is>
          <t>T20</t>
        </is>
      </c>
      <c r="B24" s="112" t="inlineStr">
        <is>
          <t>端到端串接（英雄場景：台積電法說）</t>
        </is>
      </c>
      <c r="C24" s="109" t="inlineStr">
        <is>
          <t>整合</t>
        </is>
      </c>
      <c r="D24" s="107" t="inlineStr">
        <is>
          <t>A·B·C·D·E·G</t>
        </is>
      </c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0" t="inlineStr">
        <is>
          <t>A·B·C·D·E·G</t>
        </is>
      </c>
      <c r="P24" s="111" t="n"/>
      <c r="Q24" s="111" t="n"/>
      <c r="R24" s="116" t="n"/>
      <c r="S24" s="116" t="n"/>
    </row>
    <row r="25" ht="26.85" customHeight="1" s="75">
      <c r="A25" s="107" t="inlineStr">
        <is>
          <t>T21</t>
        </is>
      </c>
      <c r="B25" s="108" t="inlineStr">
        <is>
          <t>APScheduler 排程整合（管線每輪 + 每日批次）</t>
        </is>
      </c>
      <c r="C25" s="109" t="inlineStr">
        <is>
          <t>整合</t>
        </is>
      </c>
      <c r="D25" s="107" t="inlineStr">
        <is>
          <t>A·E</t>
        </is>
      </c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0" t="inlineStr">
        <is>
          <t>A·E</t>
        </is>
      </c>
      <c r="P25" s="111" t="n"/>
      <c r="Q25" s="116" t="n"/>
      <c r="R25" s="116" t="n"/>
      <c r="S25" s="116" t="n"/>
    </row>
    <row r="26" ht="15" customHeight="1" s="75">
      <c r="A26" s="107" t="inlineStr">
        <is>
          <t>T22</t>
        </is>
      </c>
      <c r="B26" s="112" t="inlineStr">
        <is>
          <t>事件詳情頁 + 籌碼拆解 + 搜尋/時間線</t>
        </is>
      </c>
      <c r="C26" s="125" t="inlineStr">
        <is>
          <t>前端/UX</t>
        </is>
      </c>
      <c r="D26" s="107" t="inlineStr">
        <is>
          <t>F·D</t>
        </is>
      </c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26" t="inlineStr">
        <is>
          <t>F·D</t>
        </is>
      </c>
      <c r="P26" s="127" t="n"/>
      <c r="Q26" s="127" t="n"/>
      <c r="R26" s="127" t="n"/>
      <c r="S26" s="116" t="n"/>
    </row>
    <row r="27" ht="15" customHeight="1" s="75">
      <c r="A27" s="107" t="inlineStr">
        <is>
          <t>T23</t>
        </is>
      </c>
      <c r="B27" s="112" t="inlineStr">
        <is>
          <t>去重 F1 / 分類準確率 驗證</t>
        </is>
      </c>
      <c r="C27" s="136" t="inlineStr">
        <is>
          <t>驗證</t>
        </is>
      </c>
      <c r="D27" s="107" t="inlineStr">
        <is>
          <t>C·D</t>
        </is>
      </c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37" t="inlineStr">
        <is>
          <t>C·D</t>
        </is>
      </c>
      <c r="P27" s="138" t="n"/>
      <c r="Q27" s="138" t="n"/>
      <c r="R27" s="116" t="n"/>
      <c r="S27" s="116" t="n"/>
    </row>
    <row r="28" ht="15" customHeight="1" s="75">
      <c r="A28" s="107" t="inlineStr">
        <is>
          <t>T24</t>
        </is>
      </c>
      <c r="B28" s="112" t="inlineStr">
        <is>
          <t>評分行為合理性驗證（跨天平滑/分歧閘門）</t>
        </is>
      </c>
      <c r="C28" s="136" t="inlineStr">
        <is>
          <t>驗證</t>
        </is>
      </c>
      <c r="D28" s="107" t="inlineStr">
        <is>
          <t>E</t>
        </is>
      </c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37" t="inlineStr">
        <is>
          <t>E</t>
        </is>
      </c>
      <c r="Q28" s="138" t="n"/>
      <c r="R28" s="138" t="n"/>
      <c r="S28" s="116" t="n"/>
    </row>
    <row r="29" ht="15" customHeight="1" s="75">
      <c r="A29" s="107" t="inlineStr">
        <is>
          <t>T25</t>
        </is>
      </c>
      <c r="B29" s="112" t="inlineStr">
        <is>
          <t>全套 Docker Compose up 整合測試</t>
        </is>
      </c>
      <c r="C29" s="136" t="inlineStr">
        <is>
          <t>驗證</t>
        </is>
      </c>
      <c r="D29" s="107" t="inlineStr">
        <is>
          <t>A·B·G</t>
        </is>
      </c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37" t="inlineStr">
        <is>
          <t>A·B·G</t>
        </is>
      </c>
      <c r="R29" s="138" t="n"/>
      <c r="S29" s="116" t="n"/>
    </row>
    <row r="30" ht="15" customHeight="1" s="75">
      <c r="A30" s="107" t="inlineStr">
        <is>
          <t>T26</t>
        </is>
      </c>
      <c r="B30" s="108" t="inlineStr">
        <is>
          <t>Demo 準備 + 文件整理</t>
        </is>
      </c>
      <c r="C30" s="139" t="inlineStr">
        <is>
          <t>收尾</t>
        </is>
      </c>
      <c r="D30" s="121" t="inlineStr">
        <is>
          <t>全員</t>
        </is>
      </c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40" t="inlineStr">
        <is>
          <t>全員</t>
        </is>
      </c>
      <c r="S30" s="141" t="n"/>
    </row>
    <row r="31" ht="15" customHeight="1" s="75">
      <c r="A31" s="107" t="inlineStr">
        <is>
          <t>T27</t>
        </is>
      </c>
      <c r="B31" s="112" t="inlineStr">
        <is>
          <t>緩衝 / Bug 修復</t>
        </is>
      </c>
      <c r="C31" s="139" t="inlineStr">
        <is>
          <t>收尾</t>
        </is>
      </c>
      <c r="D31" s="121" t="inlineStr">
        <is>
          <t>全員</t>
        </is>
      </c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40" t="inlineStr">
        <is>
          <t>全員</t>
        </is>
      </c>
    </row>
  </sheetData>
  <mergeCells count="5">
    <mergeCell ref="A1:D1"/>
    <mergeCell ref="O2:S2"/>
    <mergeCell ref="E2:I2"/>
    <mergeCell ref="J2:N2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74" min="1" max="1"/>
    <col width="46" customWidth="1" style="74" min="2" max="2"/>
    <col width="12" customWidth="1" style="74" min="3" max="3"/>
    <col width="52" customWidth="1" style="74" min="4" max="4"/>
  </cols>
  <sheetData>
    <row r="1" ht="25.5" customHeight="1" s="75">
      <c r="A1" s="101" t="inlineStr">
        <is>
          <t>人力配置（代號 A–G）</t>
        </is>
      </c>
    </row>
    <row r="2" ht="15" customHeight="1" s="75">
      <c r="A2" s="142" t="inlineStr">
        <is>
          <t>代號</t>
        </is>
      </c>
      <c r="B2" s="142" t="inlineStr">
        <is>
          <t>建議主責</t>
        </is>
      </c>
      <c r="C2" s="142" t="inlineStr">
        <is>
          <t>參與任務數</t>
        </is>
      </c>
      <c r="D2" s="142" t="inlineStr">
        <is>
          <t>負責任務</t>
        </is>
      </c>
    </row>
    <row r="3" ht="26.85" customHeight="1" s="75">
      <c r="A3" s="143" t="inlineStr">
        <is>
          <t>A</t>
        </is>
      </c>
      <c r="B3" s="144" t="inlineStr">
        <is>
          <t>後端 · 基礎設施（Docker / DB / API 實作）</t>
        </is>
      </c>
      <c r="C3" s="145" t="n">
        <v>12</v>
      </c>
      <c r="D3" s="108" t="inlineStr">
        <is>
          <t>T01、T02、T03、T04、T07、T17、T19、T20、T21、T25、T26、T27</t>
        </is>
      </c>
    </row>
    <row r="4" ht="15" customHeight="1" s="75">
      <c r="A4" s="143" t="inlineStr">
        <is>
          <t>B</t>
        </is>
      </c>
      <c r="B4" s="144" t="inlineStr">
        <is>
          <t>資料來源 / 爬蟲</t>
        </is>
      </c>
      <c r="C4" s="145" t="n">
        <v>8</v>
      </c>
      <c r="D4" s="108" t="inlineStr">
        <is>
          <t>T05、T06、T07、T10、T20、T25、T26、T27</t>
        </is>
      </c>
    </row>
    <row r="5" ht="15" customHeight="1" s="75">
      <c r="A5" s="143" t="inlineStr">
        <is>
          <t>C</t>
        </is>
      </c>
      <c r="B5" s="144" t="inlineStr">
        <is>
          <t>向量化 / 去重聚類</t>
        </is>
      </c>
      <c r="C5" s="145" t="n">
        <v>8</v>
      </c>
      <c r="D5" s="108" t="inlineStr">
        <is>
          <t>T01、T07、T11、T12、T20、T23、T26、T27</t>
        </is>
      </c>
    </row>
    <row r="6" ht="15" customHeight="1" s="75">
      <c r="A6" s="143" t="inlineStr">
        <is>
          <t>D</t>
        </is>
      </c>
      <c r="B6" s="146" t="inlineStr">
        <is>
          <t>LLM 摘要 / 分類 / 方向</t>
        </is>
      </c>
      <c r="C6" s="145" t="n">
        <v>11</v>
      </c>
      <c r="D6" s="108" t="inlineStr">
        <is>
          <t>T07、T11、T13、T14、T15、T17、T20、T22、T23、T26、T27</t>
        </is>
      </c>
    </row>
    <row r="7" ht="15" customHeight="1" s="75">
      <c r="A7" s="143" t="inlineStr">
        <is>
          <t>E</t>
        </is>
      </c>
      <c r="B7" s="144" t="inlineStr">
        <is>
          <t>評分 / 市場驗證（FinMind 籌碼）</t>
        </is>
      </c>
      <c r="C7" s="145" t="n">
        <v>11</v>
      </c>
      <c r="D7" s="108" t="inlineStr">
        <is>
          <t>T03、T07、T09、T15、T16、T17、T20、T21、T24、T26、T27</t>
        </is>
      </c>
    </row>
    <row r="8" ht="15" customHeight="1" s="75">
      <c r="A8" s="143" t="inlineStr">
        <is>
          <t>F</t>
        </is>
      </c>
      <c r="B8" s="144" t="inlineStr">
        <is>
          <t>前端 / UX</t>
        </is>
      </c>
      <c r="C8" s="145" t="n">
        <v>7</v>
      </c>
      <c r="D8" s="108" t="inlineStr">
        <is>
          <t>T04、T07、T08、T18、T22、T26、T27</t>
        </is>
      </c>
    </row>
    <row r="9" ht="15" customHeight="1" s="75">
      <c r="A9" s="143" t="inlineStr">
        <is>
          <t>G</t>
        </is>
      </c>
      <c r="B9" s="144" t="inlineStr">
        <is>
          <t>你 — Git merge / 進度追蹤 / 架構與技術細節掌握 / 必要支援（不寫程式）</t>
        </is>
      </c>
      <c r="C9" s="145" t="n">
        <v>7</v>
      </c>
      <c r="D9" s="108" t="inlineStr">
        <is>
          <t>T00、T04、T07、T20、T25、T26、T27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74" min="1" max="1"/>
  </cols>
  <sheetData>
    <row r="1" ht="27.75" customHeight="1" s="75">
      <c r="A1" s="147" t="inlineStr">
        <is>
          <t>EventSignal MVP · 三週工作分配 — 設計原則（7 人）</t>
        </is>
      </c>
    </row>
    <row r="2" ht="24" customHeight="1" s="75">
      <c r="A2" s="148" t="n"/>
    </row>
    <row r="3" ht="24" customHeight="1" s="75">
      <c r="A3" s="149" t="inlineStr">
        <is>
          <t>1. G（你）= 統籌角色：Git merge、進度追蹤、架構與技術細節掌握、必要時支援；不實際寫程式。原 A 的『整合統籌』職責移交 G，A 專注後端/基礎設施實作。</t>
        </is>
      </c>
    </row>
    <row r="4" ht="24" customHeight="1" s="75">
      <c r="A4" s="149" t="inlineStr">
        <is>
          <t>2. 與 G 重疊的協調工作已從他人移除：T24 只留 E；A 不再掛『統籌』。G 進駐跨模組/架構節點：API 契約(T04)、端到端串接(T20)、整合測試(T25)、Demo/文件(T26)、跨全程進度(T00)。</t>
        </is>
      </c>
    </row>
    <row r="5" ht="24" customHeight="1" s="75">
      <c r="A5" s="149" t="inlineStr">
        <is>
          <t>3. 分配依系統架構切模組，非單純前後端。資料由下往上：來源→處理→儲存→API→前端。</t>
        </is>
      </c>
    </row>
    <row r="6" ht="24" customHeight="1" s="75">
      <c r="A6" s="149" t="inlineStr">
        <is>
          <t>4. 高優先任務配置 2–3 人：地基(T01-04)、Embedding 實驗(T07 全員)、市場驗證(T17 三人)、端到端串接(T20)、收尾(T26 全員)。</t>
        </is>
      </c>
    </row>
    <row r="7" ht="24" customHeight="1" s="75">
      <c r="A7" s="149" t="inlineStr">
        <is>
          <t>5. 先地基後模組再整合：W1 打通環境/資料流並全員玩 Embedding；W2 核心模組並行；W3 整合、驗證、Demo。契約優先(T04)讓前端可先用 Mock 並行。</t>
        </is>
      </c>
    </row>
    <row r="8" ht="24" customHeight="1" s="75">
      <c r="A8" s="148" t="n"/>
    </row>
    <row r="9" ht="24" customHeight="1" s="75">
      <c r="A9" s="150" t="inlineStr">
        <is>
          <t>優先度：高＝關鍵路徑、卡住會拖累全隊；中＝重要但可平行或稍後。緩衝(T27)吸收延遲。</t>
        </is>
      </c>
    </row>
  </sheetData>
  <mergeCells count="9">
    <mergeCell ref="A9:H9"/>
    <mergeCell ref="A4:H4"/>
    <mergeCell ref="A3:H3"/>
    <mergeCell ref="A5:H5"/>
    <mergeCell ref="A7:H7"/>
    <mergeCell ref="A2:H2"/>
    <mergeCell ref="A1:H1"/>
    <mergeCell ref="A8:H8"/>
    <mergeCell ref="A6: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2026-07-02T04:31:18Z</dcterms:created>
  <dcterms:modified xmlns:dcterms="http://purl.org/dc/terms/" xmlns:xsi="http://www.w3.org/2001/XMLSchema-instance" xsi:type="dcterms:W3CDTF">2026-07-02T06:16:42Z</dcterms:modified>
  <cp:revision>0</cp:revision>
</cp:coreProperties>
</file>